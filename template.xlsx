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https://netorgft18121288-my.sharepoint.com/personal/admin_office_mllservicesinc_com/Documents/MLL Services Inc/Invoices/UW/"/>
    </mc:Choice>
  </mc:AlternateContent>
  <xr:revisionPtr revIDLastSave="2177" documentId="8_{402EA782-AB8B-B044-A5FE-A3E8048ABF43}" xr6:coauthVersionLast="47" xr6:coauthVersionMax="47" xr10:uidLastSave="{C134A3D8-9D6E-BE4B-A304-19FAA6C7624C}"/>
  <bookViews>
    <workbookView xWindow="14400" yWindow="620" windowWidth="27100" windowHeight="19000" activeTab="1" xr2:uid="{00000000-000D-0000-FFFF-FFFF00000000}"/>
  </bookViews>
  <sheets>
    <sheet name="Employee List" sheetId="2" r:id="rId1"/>
    <sheet name="Invoice" sheetId="1" r:id="rId2"/>
  </sheets>
  <definedNames>
    <definedName name="EmployeeMasterList">EmployeeList[Employee Name]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91OEDdLjTSManVkH77h2Gjx+uNt83vmF14VKh0ajRw="/>
    </ext>
  </extLst>
</workbook>
</file>

<file path=xl/calcChain.xml><?xml version="1.0" encoding="utf-8"?>
<calcChain xmlns="http://schemas.openxmlformats.org/spreadsheetml/2006/main">
  <c r="Q65" i="1" l="1"/>
  <c r="H65" i="1"/>
  <c r="K65" i="1" s="1"/>
  <c r="O65" i="1" s="1"/>
  <c r="Q66" i="1"/>
  <c r="H66" i="1"/>
  <c r="K66" i="1" s="1"/>
  <c r="O66" i="1" s="1"/>
  <c r="Q64" i="1"/>
  <c r="H64" i="1"/>
  <c r="K64" i="1" s="1"/>
  <c r="O64" i="1" s="1"/>
  <c r="H32" i="1"/>
  <c r="K32" i="1" s="1"/>
  <c r="O32" i="1" s="1"/>
  <c r="F68" i="1"/>
  <c r="H31" i="1" l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7" i="1"/>
  <c r="H30" i="1"/>
  <c r="K31" i="1" l="1"/>
  <c r="K33" i="1"/>
  <c r="K34" i="1"/>
  <c r="O34" i="1" s="1"/>
  <c r="K35" i="1"/>
  <c r="O35" i="1" s="1"/>
  <c r="K36" i="1"/>
  <c r="O36" i="1" s="1"/>
  <c r="K37" i="1"/>
  <c r="O37" i="1" s="1"/>
  <c r="K38" i="1"/>
  <c r="O38" i="1" s="1"/>
  <c r="K39" i="1"/>
  <c r="O39" i="1" s="1"/>
  <c r="K40" i="1"/>
  <c r="O40" i="1" s="1"/>
  <c r="K41" i="1"/>
  <c r="O41" i="1" s="1"/>
  <c r="K42" i="1"/>
  <c r="O42" i="1" s="1"/>
  <c r="K43" i="1"/>
  <c r="O43" i="1" s="1"/>
  <c r="K44" i="1"/>
  <c r="O44" i="1" s="1"/>
  <c r="K45" i="1"/>
  <c r="O45" i="1" s="1"/>
  <c r="K46" i="1"/>
  <c r="O46" i="1" s="1"/>
  <c r="K47" i="1"/>
  <c r="O47" i="1" s="1"/>
  <c r="K48" i="1"/>
  <c r="O48" i="1" s="1"/>
  <c r="K49" i="1"/>
  <c r="O49" i="1" s="1"/>
  <c r="K50" i="1"/>
  <c r="O50" i="1" s="1"/>
  <c r="K51" i="1"/>
  <c r="O51" i="1" s="1"/>
  <c r="K52" i="1"/>
  <c r="O52" i="1" s="1"/>
  <c r="K53" i="1"/>
  <c r="O53" i="1" s="1"/>
  <c r="K54" i="1"/>
  <c r="O54" i="1" s="1"/>
  <c r="K55" i="1"/>
  <c r="O55" i="1" s="1"/>
  <c r="K56" i="1"/>
  <c r="O56" i="1" s="1"/>
  <c r="K57" i="1"/>
  <c r="O57" i="1" s="1"/>
  <c r="K58" i="1"/>
  <c r="O58" i="1" s="1"/>
  <c r="K59" i="1"/>
  <c r="O59" i="1" s="1"/>
  <c r="K60" i="1"/>
  <c r="O60" i="1" s="1"/>
  <c r="K61" i="1"/>
  <c r="O61" i="1" s="1"/>
  <c r="K62" i="1"/>
  <c r="O62" i="1" s="1"/>
  <c r="K63" i="1"/>
  <c r="O63" i="1" s="1"/>
  <c r="K67" i="1"/>
  <c r="O67" i="1" s="1"/>
  <c r="K30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7" i="1"/>
  <c r="Q31" i="1" l="1"/>
  <c r="O31" i="1"/>
  <c r="I68" i="1"/>
  <c r="C68" i="1" l="1"/>
  <c r="N68" i="1" l="1"/>
  <c r="M68" i="1"/>
  <c r="L68" i="1"/>
  <c r="J68" i="1"/>
  <c r="G68" i="1"/>
  <c r="E68" i="1"/>
  <c r="D68" i="1"/>
  <c r="Q33" i="1"/>
  <c r="O33" i="1"/>
  <c r="Q30" i="1"/>
  <c r="C72" i="1" l="1"/>
  <c r="H68" i="1"/>
  <c r="C70" i="1"/>
  <c r="O30" i="1" l="1"/>
  <c r="O68" i="1" s="1"/>
  <c r="C71" i="1" s="1"/>
  <c r="C73" i="1" s="1"/>
  <c r="K68" i="1"/>
  <c r="J22" i="1" l="1"/>
  <c r="C74" i="1"/>
  <c r="C76" i="1"/>
</calcChain>
</file>

<file path=xl/sharedStrings.xml><?xml version="1.0" encoding="utf-8"?>
<sst xmlns="http://schemas.openxmlformats.org/spreadsheetml/2006/main" count="220" uniqueCount="177">
  <si>
    <t>Date:</t>
  </si>
  <si>
    <t>Invoice No:</t>
  </si>
  <si>
    <t>Start Date:</t>
  </si>
  <si>
    <t>End Date:</t>
  </si>
  <si>
    <t>" A temporary agency commited to serve and provide efficiency permanently "</t>
  </si>
  <si>
    <t>FROM:</t>
  </si>
  <si>
    <t>BILL TO:</t>
  </si>
  <si>
    <t xml:space="preserve">Please kindly review this invoice and make payment to:   </t>
  </si>
  <si>
    <t>MLL SERVICES INC.</t>
  </si>
  <si>
    <t>Please pay this amount:</t>
  </si>
  <si>
    <t xml:space="preserve"> </t>
  </si>
  <si>
    <t>No.</t>
  </si>
  <si>
    <t>Name</t>
  </si>
  <si>
    <t>Reg. Hrs.</t>
  </si>
  <si>
    <t>Holiday/ Sick Day</t>
  </si>
  <si>
    <t>Adj Min Wage1/2 OT +hrs pay</t>
  </si>
  <si>
    <t>Half of Hrs.</t>
  </si>
  <si>
    <t>Pcs Work</t>
  </si>
  <si>
    <t>Reg Misc. Hrs. Pay</t>
  </si>
  <si>
    <t>Bonus</t>
  </si>
  <si>
    <t>Misc</t>
  </si>
  <si>
    <t>Straight Time Earning</t>
  </si>
  <si>
    <t>ADJ-Min Wage</t>
  </si>
  <si>
    <t>ADJ-Min Wage OT 1/2 Half Pay</t>
  </si>
  <si>
    <t>OT Half Hrs-Pay</t>
  </si>
  <si>
    <t>Total</t>
  </si>
  <si>
    <t>Bill Rate</t>
  </si>
  <si>
    <t>OT Rate</t>
  </si>
  <si>
    <t>Bousqust Chenda P</t>
  </si>
  <si>
    <t>Chhem Salina Navy</t>
  </si>
  <si>
    <t>Chan Sothavy</t>
  </si>
  <si>
    <t>Chea Suor</t>
  </si>
  <si>
    <t>Chea Somaly</t>
  </si>
  <si>
    <t>Chhy Touch</t>
  </si>
  <si>
    <t>Do Hoang Van</t>
  </si>
  <si>
    <t>Hiek Seang</t>
  </si>
  <si>
    <t>Hour Samphors</t>
  </si>
  <si>
    <t>Hoy Sothy</t>
  </si>
  <si>
    <t>Kry Yenmeur</t>
  </si>
  <si>
    <t>Lim Sodany</t>
  </si>
  <si>
    <t>Oeurng Bopha</t>
  </si>
  <si>
    <t>Pheng Ratsathya</t>
  </si>
  <si>
    <t>Run Socheat</t>
  </si>
  <si>
    <t>Sam Tola</t>
  </si>
  <si>
    <t>Sierra Maria E</t>
  </si>
  <si>
    <t>Srong Thona</t>
  </si>
  <si>
    <t>Sun Sara</t>
  </si>
  <si>
    <t>Sun Touch</t>
  </si>
  <si>
    <t>Taing Kimsrey</t>
  </si>
  <si>
    <t>Thach Um T</t>
  </si>
  <si>
    <t>Trinh Quyen T</t>
  </si>
  <si>
    <t>Vath Voeun</t>
  </si>
  <si>
    <t>Total For Hourly Pay+OT:</t>
  </si>
  <si>
    <t>Total Piece Pay+Adj+Bonus:</t>
  </si>
  <si>
    <t>Total Hourly Add 1.7:</t>
  </si>
  <si>
    <t>17% For Piece:</t>
  </si>
  <si>
    <t>Grand Total Hours + Piece:</t>
  </si>
  <si>
    <t>Total:</t>
  </si>
  <si>
    <t>Note: We certify that all personnel and charges are in full compliance with all applicable laws, that we pay minimum wage.</t>
  </si>
  <si>
    <t>Bunya Mansfield</t>
  </si>
  <si>
    <t>Chea Kimpuoch</t>
  </si>
  <si>
    <t>Chhea Vuochneang</t>
  </si>
  <si>
    <t>Him Sarom</t>
  </si>
  <si>
    <t>Huo Sok Kheang</t>
  </si>
  <si>
    <t>Khum Sokhem</t>
  </si>
  <si>
    <t>Lay Dany</t>
  </si>
  <si>
    <t>Liv Keav</t>
  </si>
  <si>
    <t>Nguyen Thao Thi</t>
  </si>
  <si>
    <t>Pol Sreymom</t>
  </si>
  <si>
    <t>Sim Oeun</t>
  </si>
  <si>
    <t>Uch Srey Hour</t>
  </si>
  <si>
    <t>Yang Sokunthea</t>
  </si>
  <si>
    <t>Hing Sokunthea</t>
  </si>
  <si>
    <t>Phan Kakada</t>
  </si>
  <si>
    <t>Kheav Savoeun</t>
  </si>
  <si>
    <t>Prum Vanny</t>
  </si>
  <si>
    <t>Chamroeun Vuty</t>
  </si>
  <si>
    <t>Chen Pichara J</t>
  </si>
  <si>
    <t>Chhom Chhovin</t>
  </si>
  <si>
    <t>Chhum Dina Kim</t>
  </si>
  <si>
    <t>Chhuon Pao</t>
  </si>
  <si>
    <t>Chin Thirith</t>
  </si>
  <si>
    <t>Chook Alisa</t>
  </si>
  <si>
    <t>Eam Aun</t>
  </si>
  <si>
    <t>Ek Sok Vinney</t>
  </si>
  <si>
    <t>Hem Sidin</t>
  </si>
  <si>
    <t>Hing Chansophea</t>
  </si>
  <si>
    <t>Hoang Anh Tuyet</t>
  </si>
  <si>
    <t>Hol Sokchanthida</t>
  </si>
  <si>
    <t>Hor Sophea</t>
  </si>
  <si>
    <t>Huy Keary</t>
  </si>
  <si>
    <t>Kairouz Mary</t>
  </si>
  <si>
    <t>Kan Hath</t>
  </si>
  <si>
    <t>Keo Vichet</t>
  </si>
  <si>
    <t>Keo Vikram</t>
  </si>
  <si>
    <t>Khim Sophorn</t>
  </si>
  <si>
    <t>Kim Sokunthea S</t>
  </si>
  <si>
    <t>Kim Sotha</t>
  </si>
  <si>
    <t>Kim Thi Som An</t>
  </si>
  <si>
    <t>Koul Sophorn</t>
  </si>
  <si>
    <t>Leng Sreylen</t>
  </si>
  <si>
    <t>Lors Amey</t>
  </si>
  <si>
    <t>Meas Sopha</t>
  </si>
  <si>
    <t>Nao Chanthida</t>
  </si>
  <si>
    <t>Nget Sopho</t>
  </si>
  <si>
    <t>Nguyen Thanh T</t>
  </si>
  <si>
    <t>Nhem Chanthern</t>
  </si>
  <si>
    <t>Nhem Kimlee</t>
  </si>
  <si>
    <t>Oeng Pichsrey</t>
  </si>
  <si>
    <t>Pen Sophal</t>
  </si>
  <si>
    <t>Phin Matin</t>
  </si>
  <si>
    <t>Pholy Anabelle Satuka</t>
  </si>
  <si>
    <t>Pon Theany</t>
  </si>
  <si>
    <t>Rath Aydalyne</t>
  </si>
  <si>
    <t>Roeun Kimhuoy</t>
  </si>
  <si>
    <t>Sa Sokkea</t>
  </si>
  <si>
    <t>San Serenity</t>
  </si>
  <si>
    <t>Seng Tina</t>
  </si>
  <si>
    <t>Sin Bunthoeun</t>
  </si>
  <si>
    <t>Sok Lyda</t>
  </si>
  <si>
    <t>Sok Rida Mom</t>
  </si>
  <si>
    <t>Sok Sinat</t>
  </si>
  <si>
    <t>Son Thi Nen</t>
  </si>
  <si>
    <t>Suos Poch</t>
  </si>
  <si>
    <t>Taing Sokchea</t>
  </si>
  <si>
    <t>Than Ly</t>
  </si>
  <si>
    <t>Tith Sok Heng</t>
  </si>
  <si>
    <t>Toaquiza Diana</t>
  </si>
  <si>
    <t>Tom Chanchakry</t>
  </si>
  <si>
    <t>Ven Sok</t>
  </si>
  <si>
    <t>Ven Sophy</t>
  </si>
  <si>
    <t>Xayasinh Chintala</t>
  </si>
  <si>
    <t>Yean Mom</t>
  </si>
  <si>
    <t>Employee Name</t>
  </si>
  <si>
    <t>Caraballo Ana</t>
  </si>
  <si>
    <t>Chhay Sovannary</t>
  </si>
  <si>
    <t>Chheng Yon</t>
  </si>
  <si>
    <t>Duong Henry Vang</t>
  </si>
  <si>
    <t>Eng Sokha</t>
  </si>
  <si>
    <t>Hean Chanla</t>
  </si>
  <si>
    <t>Khem Mom</t>
  </si>
  <si>
    <t>Khiev Chanthou</t>
  </si>
  <si>
    <t>Khoeun Sophat</t>
  </si>
  <si>
    <t>Kim Visal</t>
  </si>
  <si>
    <t>Kouk Chantha</t>
  </si>
  <si>
    <t>Krim Sera</t>
  </si>
  <si>
    <t>Lam KimAnh</t>
  </si>
  <si>
    <t>Luy Toeurt</t>
  </si>
  <si>
    <t>Ly Eng</t>
  </si>
  <si>
    <t>Mercado Leilanys</t>
  </si>
  <si>
    <t>Mean Sokunthea</t>
  </si>
  <si>
    <t>Mouth Mary</t>
  </si>
  <si>
    <t>Phon Sopheun</t>
  </si>
  <si>
    <t>Puth Chanthy</t>
  </si>
  <si>
    <t>Ros Kim A</t>
  </si>
  <si>
    <t>Ruiz Nunez Esteban F</t>
  </si>
  <si>
    <t>Sar Eng N</t>
  </si>
  <si>
    <t>Seng Sreymom</t>
  </si>
  <si>
    <t>Sim Sinath</t>
  </si>
  <si>
    <t>So Thidarosa</t>
  </si>
  <si>
    <t>Sort Sophy</t>
  </si>
  <si>
    <t>Soun Ravy</t>
  </si>
  <si>
    <t>Thach Thi MaRi</t>
  </si>
  <si>
    <t>Thai Kim Heak</t>
  </si>
  <si>
    <t>Yim San</t>
  </si>
  <si>
    <t>Khan Nhep</t>
  </si>
  <si>
    <t>Kim Socly</t>
  </si>
  <si>
    <t>Neang Channarin</t>
  </si>
  <si>
    <t>Pha Sophat</t>
  </si>
  <si>
    <t>Sokh Saloeur</t>
  </si>
  <si>
    <t>Chan Ly</t>
  </si>
  <si>
    <t>Khun Lily</t>
  </si>
  <si>
    <t>Sar Sokunthea</t>
  </si>
  <si>
    <t>Chay Sreyleab</t>
  </si>
  <si>
    <t>Khin Vutheara</t>
  </si>
  <si>
    <t>Thach Nuoi Thi</t>
  </si>
  <si>
    <t>UN-B-79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</si>
</sst>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32" x14ac:knownFonts="1">
    <font>
      <sz val="10"/>
      <color rgb="FF000000"/>
      <name val="Arial"/>
      <scheme val="minor"/>
    </font>
    <font>
      <sz val="14"/>
      <color theme="1"/>
      <name val="Arial"/>
      <family val="2"/>
    </font>
    <font>
      <sz val="14"/>
      <color rgb="FF76923C"/>
      <name val="Arial"/>
      <family val="2"/>
    </font>
    <font>
      <sz val="10"/>
      <name val="Arial"/>
      <family val="2"/>
    </font>
    <font>
      <b/>
      <i/>
      <u/>
      <sz val="14"/>
      <color rgb="FF993300"/>
      <name val="Arial"/>
      <family val="2"/>
    </font>
    <font>
      <b/>
      <i/>
      <sz val="12"/>
      <color theme="1"/>
      <name val="Arial"/>
      <family val="2"/>
    </font>
    <font>
      <b/>
      <i/>
      <u/>
      <sz val="16"/>
      <color rgb="FF17365D"/>
      <name val="Arial"/>
      <family val="2"/>
    </font>
    <font>
      <b/>
      <i/>
      <u/>
      <sz val="16"/>
      <color rgb="FF17365D"/>
      <name val="Arial"/>
      <family val="2"/>
    </font>
    <font>
      <b/>
      <i/>
      <u/>
      <sz val="16"/>
      <color rgb="FF548DD4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2"/>
      <color theme="0"/>
      <name val="Arial"/>
      <family val="2"/>
    </font>
    <font>
      <b/>
      <sz val="16"/>
      <color theme="1"/>
      <name val="Arial"/>
      <family val="2"/>
    </font>
    <font>
      <b/>
      <sz val="22"/>
      <color rgb="FF000000"/>
      <name val="Arial"/>
      <family val="2"/>
    </font>
    <font>
      <b/>
      <sz val="16"/>
      <color rgb="FF000000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8"/>
      <color theme="1"/>
      <name val="Arial"/>
      <family val="2"/>
    </font>
    <font>
      <sz val="10"/>
      <color theme="1"/>
      <name val="Arial"/>
      <family val="2"/>
      <scheme val="minor"/>
    </font>
    <font>
      <b/>
      <sz val="9"/>
      <color theme="1"/>
      <name val="Times New Roman"/>
      <family val="1"/>
    </font>
    <font>
      <b/>
      <sz val="10"/>
      <color theme="1"/>
      <name val="Times New Roman"/>
      <family val="1"/>
    </font>
    <font>
      <b/>
      <sz val="8"/>
      <color theme="1"/>
      <name val="Times New Roman"/>
      <family val="1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Times New Roman"/>
      <family val="1"/>
    </font>
    <font>
      <sz val="8"/>
      <color theme="1"/>
      <name val="Arial (Body)"/>
    </font>
    <font>
      <sz val="8"/>
      <color rgb="FF000000"/>
      <name val="Arial (Body)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4BD97"/>
        <bgColor rgb="FFC4BD9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top"/>
    </xf>
    <xf numFmtId="14" fontId="1" fillId="0" borderId="0" xfId="0" applyNumberFormat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4" fillId="3" borderId="14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5" fillId="0" borderId="15" xfId="0" applyFont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15" fillId="4" borderId="15" xfId="0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17" fillId="0" borderId="0" xfId="0" applyFont="1"/>
    <xf numFmtId="0" fontId="18" fillId="0" borderId="15" xfId="0" applyFont="1" applyBorder="1" applyAlignment="1">
      <alignment horizontal="center" vertical="center" wrapText="1"/>
    </xf>
    <xf numFmtId="0" fontId="19" fillId="4" borderId="15" xfId="0" applyFont="1" applyFill="1" applyBorder="1" applyAlignment="1">
      <alignment horizontal="left" vertical="center" wrapText="1"/>
    </xf>
    <xf numFmtId="164" fontId="20" fillId="4" borderId="15" xfId="0" applyNumberFormat="1" applyFont="1" applyFill="1" applyBorder="1" applyAlignment="1">
      <alignment horizontal="center" vertical="center" wrapText="1"/>
    </xf>
    <xf numFmtId="164" fontId="20" fillId="4" borderId="15" xfId="0" applyNumberFormat="1" applyFont="1" applyFill="1" applyBorder="1" applyAlignment="1">
      <alignment horizontal="left" vertical="center" wrapText="1"/>
    </xf>
    <xf numFmtId="0" fontId="21" fillId="0" borderId="0" xfId="0" applyFont="1"/>
    <xf numFmtId="2" fontId="22" fillId="0" borderId="15" xfId="0" applyNumberFormat="1" applyFont="1" applyBorder="1" applyAlignment="1">
      <alignment horizontal="center" vertical="center"/>
    </xf>
    <xf numFmtId="164" fontId="22" fillId="0" borderId="15" xfId="0" applyNumberFormat="1" applyFont="1" applyBorder="1" applyAlignment="1">
      <alignment horizontal="center" vertical="center"/>
    </xf>
    <xf numFmtId="44" fontId="23" fillId="0" borderId="15" xfId="0" applyNumberFormat="1" applyFont="1" applyBorder="1" applyAlignment="1">
      <alignment horizontal="center" vertical="center"/>
    </xf>
    <xf numFmtId="44" fontId="24" fillId="0" borderId="15" xfId="0" applyNumberFormat="1" applyFont="1" applyBorder="1" applyAlignment="1">
      <alignment horizontal="center" vertical="center"/>
    </xf>
    <xf numFmtId="164" fontId="23" fillId="0" borderId="15" xfId="0" applyNumberFormat="1" applyFont="1" applyBorder="1" applyAlignment="1">
      <alignment horizontal="center" vertical="center"/>
    </xf>
    <xf numFmtId="2" fontId="20" fillId="0" borderId="0" xfId="0" applyNumberFormat="1" applyFont="1" applyAlignment="1">
      <alignment horizontal="center"/>
    </xf>
    <xf numFmtId="2" fontId="22" fillId="0" borderId="0" xfId="0" applyNumberFormat="1" applyFont="1" applyAlignment="1">
      <alignment horizontal="center" vertical="center"/>
    </xf>
    <xf numFmtId="164" fontId="22" fillId="0" borderId="0" xfId="0" applyNumberFormat="1" applyFont="1" applyAlignment="1">
      <alignment horizontal="center" vertical="center"/>
    </xf>
    <xf numFmtId="44" fontId="23" fillId="0" borderId="0" xfId="0" applyNumberFormat="1" applyFont="1" applyAlignment="1">
      <alignment horizontal="center" vertical="center"/>
    </xf>
    <xf numFmtId="44" fontId="24" fillId="0" borderId="0" xfId="0" applyNumberFormat="1" applyFont="1" applyAlignment="1">
      <alignment horizontal="center" vertical="center"/>
    </xf>
    <xf numFmtId="164" fontId="23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/>
    </xf>
    <xf numFmtId="2" fontId="20" fillId="0" borderId="0" xfId="0" applyNumberFormat="1" applyFont="1"/>
    <xf numFmtId="6" fontId="17" fillId="0" borderId="0" xfId="0" applyNumberFormat="1" applyFont="1" applyAlignment="1">
      <alignment horizontal="center"/>
    </xf>
    <xf numFmtId="44" fontId="17" fillId="0" borderId="0" xfId="0" applyNumberFormat="1" applyFont="1" applyAlignment="1">
      <alignment vertical="center"/>
    </xf>
    <xf numFmtId="0" fontId="26" fillId="0" borderId="0" xfId="0" applyFont="1"/>
    <xf numFmtId="164" fontId="26" fillId="0" borderId="0" xfId="0" applyNumberFormat="1" applyFont="1" applyAlignment="1">
      <alignment horizontal="center"/>
    </xf>
    <xf numFmtId="0" fontId="17" fillId="0" borderId="0" xfId="0" applyFont="1" applyAlignment="1">
      <alignment vertical="center"/>
    </xf>
    <xf numFmtId="0" fontId="28" fillId="0" borderId="0" xfId="0" applyFont="1"/>
    <xf numFmtId="8" fontId="20" fillId="0" borderId="15" xfId="0" applyNumberFormat="1" applyFont="1" applyBorder="1" applyAlignment="1">
      <alignment horizontal="center" vertical="center" wrapText="1"/>
    </xf>
    <xf numFmtId="0" fontId="31" fillId="0" borderId="0" xfId="0" applyFont="1"/>
    <xf numFmtId="0" fontId="20" fillId="0" borderId="15" xfId="0" applyFont="1" applyBorder="1" applyAlignment="1">
      <alignment horizontal="center" vertical="center" wrapText="1"/>
    </xf>
    <xf numFmtId="0" fontId="29" fillId="0" borderId="15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19" fillId="4" borderId="17" xfId="0" applyFont="1" applyFill="1" applyBorder="1" applyAlignment="1">
      <alignment horizontal="left" vertical="center" wrapText="1"/>
    </xf>
    <xf numFmtId="0" fontId="27" fillId="0" borderId="0" xfId="0" applyFont="1" applyAlignment="1">
      <alignment horizontal="center"/>
    </xf>
    <xf numFmtId="0" fontId="0" fillId="0" borderId="0" xfId="0"/>
    <xf numFmtId="44" fontId="27" fillId="0" borderId="0" xfId="0" applyNumberFormat="1" applyFont="1" applyAlignment="1">
      <alignment vertical="center"/>
    </xf>
    <xf numFmtId="0" fontId="17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44" fontId="17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164" fontId="13" fillId="3" borderId="4" xfId="0" applyNumberFormat="1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44" fontId="17" fillId="0" borderId="0" xfId="0" applyNumberFormat="1" applyFont="1" applyAlignment="1">
      <alignment vertical="center" wrapText="1"/>
    </xf>
    <xf numFmtId="44" fontId="9" fillId="0" borderId="16" xfId="0" applyNumberFormat="1" applyFont="1" applyBorder="1" applyAlignment="1">
      <alignment vertical="center"/>
    </xf>
    <xf numFmtId="0" fontId="3" fillId="0" borderId="16" xfId="0" applyFont="1" applyBorder="1"/>
    <xf numFmtId="0" fontId="5" fillId="0" borderId="0" xfId="0" applyFont="1" applyAlignment="1">
      <alignment horizontal="left" vertical="center"/>
    </xf>
    <xf numFmtId="0" fontId="3" fillId="0" borderId="10" xfId="0" applyFont="1" applyBorder="1"/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11" fillId="2" borderId="11" xfId="0" applyFont="1" applyFill="1" applyBorder="1" applyAlignment="1">
      <alignment horizontal="center" vertical="center"/>
    </xf>
    <xf numFmtId="0" fontId="3" fillId="0" borderId="12" xfId="0" applyFont="1" applyBorder="1"/>
    <xf numFmtId="0" fontId="3" fillId="0" borderId="13" xfId="0" applyFont="1" applyBorder="1"/>
    <xf numFmtId="0" fontId="1" fillId="0" borderId="4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19050</xdr:colOff>
      <xdr:row>0</xdr:row>
      <xdr:rowOff>104775</xdr:rowOff>
    </xdr:from>
    <xdr:ext cx="6448425" cy="6191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31313" y="3479963"/>
          <a:ext cx="6429375" cy="600075"/>
        </a:xfrm>
        <a:prstGeom prst="rect">
          <a:avLst/>
        </a:prstGeom>
      </xdr:spPr>
      <xdr:txBody>
        <a:bodyPr>
          <a:prstTxWarp prst="textPlain">
            <a:avLst/>
          </a:prstTxWarp>
        </a:bodyPr>
        <a:lstStyle/>
        <a:p>
          <a:pPr lvl="0" algn="ctr"/>
          <a:r>
            <a:rPr b="0" i="0">
              <a:ln w="19050" cap="flat" cmpd="sng">
                <a:solidFill>
                  <a:srgbClr val="800000"/>
                </a:solidFill>
                <a:prstDash val="solid"/>
                <a:miter lim="8000"/>
                <a:headEnd type="none" w="sm" len="sm"/>
                <a:tailEnd type="none" w="sm" len="sm"/>
              </a:ln>
              <a:solidFill>
                <a:srgbClr val="00FF00">
                  <a:alpha val="50196"/>
                </a:srgbClr>
              </a:solidFill>
              <a:latin typeface="Arial Black"/>
            </a:rPr>
            <a:t>INVOICE </a:t>
          </a:r>
        </a:p>
      </xdr:txBody>
    </xdr:sp>
    <xdr:clientData fLocksWithSheet="0"/>
  </xdr:oneCellAnchor>
  <xdr:oneCellAnchor>
    <xdr:from>
      <xdr:col>9</xdr:col>
      <xdr:colOff>19050</xdr:colOff>
      <xdr:row>12</xdr:row>
      <xdr:rowOff>47625</xdr:rowOff>
    </xdr:from>
    <xdr:ext cx="6267450" cy="11906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217038" y="3189450"/>
          <a:ext cx="6257925" cy="11811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 i="0" u="none" strike="noStrike">
              <a:solidFill>
                <a:srgbClr val="33CCCC"/>
              </a:solidFill>
              <a:latin typeface="Times New Roman"/>
              <a:ea typeface="Times New Roman"/>
              <a:cs typeface="Times New Roman"/>
              <a:sym typeface="Times New Roman"/>
            </a:rPr>
            <a:t>Unwrapped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rgbClr val="33CCCC"/>
              </a:solidFill>
              <a:latin typeface="Times New Roman"/>
              <a:ea typeface="Times New Roman"/>
              <a:cs typeface="Times New Roman"/>
              <a:sym typeface="Times New Roman"/>
            </a:rPr>
            <a:t>Attn: Gena Sopheap Tha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95 Rock Street, Lowell, MA 01854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Tel:  (978) 441-0242,  Fax:  (978) 441 0929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Email: sophea@unwrappedinc.com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0</xdr:colOff>
      <xdr:row>12</xdr:row>
      <xdr:rowOff>28575</xdr:rowOff>
    </xdr:from>
    <xdr:ext cx="4810125" cy="11906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945700" y="3189450"/>
          <a:ext cx="4800600" cy="11811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 i="0" u="none" strike="noStrike">
              <a:solidFill>
                <a:srgbClr val="000080"/>
              </a:solidFill>
              <a:latin typeface="Times New Roman"/>
              <a:ea typeface="Times New Roman"/>
              <a:cs typeface="Times New Roman"/>
              <a:sym typeface="Times New Roman"/>
            </a:rPr>
            <a:t>MLL Services Inc.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rgbClr val="000080"/>
              </a:solidFill>
              <a:latin typeface="Times New Roman"/>
              <a:ea typeface="Times New Roman"/>
              <a:cs typeface="Times New Roman"/>
              <a:sym typeface="Times New Roman"/>
            </a:rPr>
            <a:t>Attn: Pithy Vann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16 Linwood Street, Lowell, MA  01851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Tel:  (978) 770-8795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i="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Email: admin.office@mllservicesinc.com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28575</xdr:colOff>
      <xdr:row>0</xdr:row>
      <xdr:rowOff>0</xdr:rowOff>
    </xdr:from>
    <xdr:ext cx="4057650" cy="16573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CD495A-9A44-E445-AAA6-994075E8B2CC}" name="EmployeeList" displayName="EmployeeList" ref="A1:A142" totalsRowShown="0" headerRowDxfId="0">
  <autoFilter ref="A1:A142" xr:uid="{F6CD495A-9A44-E445-AAA6-994075E8B2CC}"/>
  <tableColumns count="1">
    <tableColumn id="1" xr3:uid="{590EF40B-F737-C448-A88E-DFCCBBC8D1B9}" name="Employee Na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AAAF8-9D46-1545-A7AA-0D14BE99AD5A}">
  <dimension ref="A1:A142"/>
  <sheetViews>
    <sheetView topLeftCell="A99" workbookViewId="0">
      <selection activeCell="A143" sqref="A143"/>
    </sheetView>
  </sheetViews>
  <sheetFormatPr baseColWidth="10" defaultRowHeight="13" x14ac:dyDescent="0.15"/>
  <cols>
    <col min="1" max="1" width="22.83203125" customWidth="1"/>
  </cols>
  <sheetData>
    <row r="1" spans="1:1" x14ac:dyDescent="0.15">
      <c r="A1" s="46" t="s">
        <v>133</v>
      </c>
    </row>
    <row r="2" spans="1:1" x14ac:dyDescent="0.15">
      <c r="A2" t="s">
        <v>28</v>
      </c>
    </row>
    <row r="3" spans="1:1" x14ac:dyDescent="0.15">
      <c r="A3" t="s">
        <v>59</v>
      </c>
    </row>
    <row r="4" spans="1:1" x14ac:dyDescent="0.15">
      <c r="A4" t="s">
        <v>76</v>
      </c>
    </row>
    <row r="5" spans="1:1" x14ac:dyDescent="0.15">
      <c r="A5" t="s">
        <v>30</v>
      </c>
    </row>
    <row r="6" spans="1:1" x14ac:dyDescent="0.15">
      <c r="A6" t="s">
        <v>60</v>
      </c>
    </row>
    <row r="7" spans="1:1" x14ac:dyDescent="0.15">
      <c r="A7" t="s">
        <v>32</v>
      </c>
    </row>
    <row r="8" spans="1:1" x14ac:dyDescent="0.15">
      <c r="A8" t="s">
        <v>31</v>
      </c>
    </row>
    <row r="9" spans="1:1" x14ac:dyDescent="0.15">
      <c r="A9" t="s">
        <v>77</v>
      </c>
    </row>
    <row r="10" spans="1:1" x14ac:dyDescent="0.15">
      <c r="A10" t="s">
        <v>61</v>
      </c>
    </row>
    <row r="11" spans="1:1" x14ac:dyDescent="0.15">
      <c r="A11" t="s">
        <v>29</v>
      </c>
    </row>
    <row r="12" spans="1:1" x14ac:dyDescent="0.15">
      <c r="A12" t="s">
        <v>78</v>
      </c>
    </row>
    <row r="13" spans="1:1" x14ac:dyDescent="0.15">
      <c r="A13" t="s">
        <v>79</v>
      </c>
    </row>
    <row r="14" spans="1:1" x14ac:dyDescent="0.15">
      <c r="A14" t="s">
        <v>80</v>
      </c>
    </row>
    <row r="15" spans="1:1" x14ac:dyDescent="0.15">
      <c r="A15" t="s">
        <v>33</v>
      </c>
    </row>
    <row r="16" spans="1:1" x14ac:dyDescent="0.15">
      <c r="A16" t="s">
        <v>81</v>
      </c>
    </row>
    <row r="17" spans="1:1" x14ac:dyDescent="0.15">
      <c r="A17" t="s">
        <v>82</v>
      </c>
    </row>
    <row r="18" spans="1:1" x14ac:dyDescent="0.15">
      <c r="A18" t="s">
        <v>34</v>
      </c>
    </row>
    <row r="19" spans="1:1" x14ac:dyDescent="0.15">
      <c r="A19" t="s">
        <v>83</v>
      </c>
    </row>
    <row r="20" spans="1:1" x14ac:dyDescent="0.15">
      <c r="A20" t="s">
        <v>84</v>
      </c>
    </row>
    <row r="21" spans="1:1" x14ac:dyDescent="0.15">
      <c r="A21" t="s">
        <v>85</v>
      </c>
    </row>
    <row r="22" spans="1:1" x14ac:dyDescent="0.15">
      <c r="A22" t="s">
        <v>35</v>
      </c>
    </row>
    <row r="23" spans="1:1" x14ac:dyDescent="0.15">
      <c r="A23" s="46" t="s">
        <v>62</v>
      </c>
    </row>
    <row r="24" spans="1:1" x14ac:dyDescent="0.15">
      <c r="A24" t="s">
        <v>86</v>
      </c>
    </row>
    <row r="25" spans="1:1" x14ac:dyDescent="0.15">
      <c r="A25" t="s">
        <v>72</v>
      </c>
    </row>
    <row r="26" spans="1:1" x14ac:dyDescent="0.15">
      <c r="A26" t="s">
        <v>87</v>
      </c>
    </row>
    <row r="27" spans="1:1" x14ac:dyDescent="0.15">
      <c r="A27" t="s">
        <v>88</v>
      </c>
    </row>
    <row r="28" spans="1:1" x14ac:dyDescent="0.15">
      <c r="A28" t="s">
        <v>89</v>
      </c>
    </row>
    <row r="29" spans="1:1" x14ac:dyDescent="0.15">
      <c r="A29" s="46" t="s">
        <v>36</v>
      </c>
    </row>
    <row r="30" spans="1:1" x14ac:dyDescent="0.15">
      <c r="A30" t="s">
        <v>37</v>
      </c>
    </row>
    <row r="31" spans="1:1" x14ac:dyDescent="0.15">
      <c r="A31" t="s">
        <v>63</v>
      </c>
    </row>
    <row r="32" spans="1:1" x14ac:dyDescent="0.15">
      <c r="A32" t="s">
        <v>90</v>
      </c>
    </row>
    <row r="33" spans="1:1" x14ac:dyDescent="0.15">
      <c r="A33" t="s">
        <v>91</v>
      </c>
    </row>
    <row r="34" spans="1:1" x14ac:dyDescent="0.15">
      <c r="A34" t="s">
        <v>92</v>
      </c>
    </row>
    <row r="35" spans="1:1" x14ac:dyDescent="0.15">
      <c r="A35" t="s">
        <v>93</v>
      </c>
    </row>
    <row r="36" spans="1:1" x14ac:dyDescent="0.15">
      <c r="A36" t="s">
        <v>94</v>
      </c>
    </row>
    <row r="37" spans="1:1" x14ac:dyDescent="0.15">
      <c r="A37" t="s">
        <v>74</v>
      </c>
    </row>
    <row r="38" spans="1:1" x14ac:dyDescent="0.15">
      <c r="A38" t="s">
        <v>95</v>
      </c>
    </row>
    <row r="39" spans="1:1" x14ac:dyDescent="0.15">
      <c r="A39" t="s">
        <v>64</v>
      </c>
    </row>
    <row r="40" spans="1:1" x14ac:dyDescent="0.15">
      <c r="A40" t="s">
        <v>96</v>
      </c>
    </row>
    <row r="41" spans="1:1" x14ac:dyDescent="0.15">
      <c r="A41" t="s">
        <v>97</v>
      </c>
    </row>
    <row r="42" spans="1:1" x14ac:dyDescent="0.15">
      <c r="A42" t="s">
        <v>98</v>
      </c>
    </row>
    <row r="43" spans="1:1" x14ac:dyDescent="0.15">
      <c r="A43" t="s">
        <v>99</v>
      </c>
    </row>
    <row r="44" spans="1:1" x14ac:dyDescent="0.15">
      <c r="A44" t="s">
        <v>38</v>
      </c>
    </row>
    <row r="45" spans="1:1" x14ac:dyDescent="0.15">
      <c r="A45" t="s">
        <v>65</v>
      </c>
    </row>
    <row r="46" spans="1:1" x14ac:dyDescent="0.15">
      <c r="A46" t="s">
        <v>100</v>
      </c>
    </row>
    <row r="47" spans="1:1" x14ac:dyDescent="0.15">
      <c r="A47" t="s">
        <v>39</v>
      </c>
    </row>
    <row r="48" spans="1:1" x14ac:dyDescent="0.15">
      <c r="A48" t="s">
        <v>66</v>
      </c>
    </row>
    <row r="49" spans="1:1" x14ac:dyDescent="0.15">
      <c r="A49" t="s">
        <v>101</v>
      </c>
    </row>
    <row r="50" spans="1:1" x14ac:dyDescent="0.15">
      <c r="A50" t="s">
        <v>102</v>
      </c>
    </row>
    <row r="51" spans="1:1" x14ac:dyDescent="0.15">
      <c r="A51" t="s">
        <v>103</v>
      </c>
    </row>
    <row r="52" spans="1:1" x14ac:dyDescent="0.15">
      <c r="A52" t="s">
        <v>104</v>
      </c>
    </row>
    <row r="53" spans="1:1" x14ac:dyDescent="0.15">
      <c r="A53" t="s">
        <v>105</v>
      </c>
    </row>
    <row r="54" spans="1:1" x14ac:dyDescent="0.15">
      <c r="A54" t="s">
        <v>67</v>
      </c>
    </row>
    <row r="55" spans="1:1" x14ac:dyDescent="0.15">
      <c r="A55" t="s">
        <v>106</v>
      </c>
    </row>
    <row r="56" spans="1:1" x14ac:dyDescent="0.15">
      <c r="A56" t="s">
        <v>107</v>
      </c>
    </row>
    <row r="57" spans="1:1" x14ac:dyDescent="0.15">
      <c r="A57" t="s">
        <v>108</v>
      </c>
    </row>
    <row r="58" spans="1:1" x14ac:dyDescent="0.15">
      <c r="A58" t="s">
        <v>40</v>
      </c>
    </row>
    <row r="59" spans="1:1" x14ac:dyDescent="0.15">
      <c r="A59" t="s">
        <v>109</v>
      </c>
    </row>
    <row r="60" spans="1:1" x14ac:dyDescent="0.15">
      <c r="A60" t="s">
        <v>73</v>
      </c>
    </row>
    <row r="61" spans="1:1" x14ac:dyDescent="0.15">
      <c r="A61" t="s">
        <v>41</v>
      </c>
    </row>
    <row r="62" spans="1:1" x14ac:dyDescent="0.15">
      <c r="A62" t="s">
        <v>110</v>
      </c>
    </row>
    <row r="63" spans="1:1" x14ac:dyDescent="0.15">
      <c r="A63" t="s">
        <v>111</v>
      </c>
    </row>
    <row r="64" spans="1:1" x14ac:dyDescent="0.15">
      <c r="A64" t="s">
        <v>68</v>
      </c>
    </row>
    <row r="65" spans="1:1" x14ac:dyDescent="0.15">
      <c r="A65" t="s">
        <v>112</v>
      </c>
    </row>
    <row r="66" spans="1:1" x14ac:dyDescent="0.15">
      <c r="A66" t="s">
        <v>75</v>
      </c>
    </row>
    <row r="67" spans="1:1" x14ac:dyDescent="0.15">
      <c r="A67" t="s">
        <v>113</v>
      </c>
    </row>
    <row r="68" spans="1:1" x14ac:dyDescent="0.15">
      <c r="A68" t="s">
        <v>114</v>
      </c>
    </row>
    <row r="69" spans="1:1" x14ac:dyDescent="0.15">
      <c r="A69" t="s">
        <v>42</v>
      </c>
    </row>
    <row r="70" spans="1:1" x14ac:dyDescent="0.15">
      <c r="A70" t="s">
        <v>115</v>
      </c>
    </row>
    <row r="71" spans="1:1" x14ac:dyDescent="0.15">
      <c r="A71" t="s">
        <v>43</v>
      </c>
    </row>
    <row r="72" spans="1:1" x14ac:dyDescent="0.15">
      <c r="A72" t="s">
        <v>116</v>
      </c>
    </row>
    <row r="73" spans="1:1" x14ac:dyDescent="0.15">
      <c r="A73" t="s">
        <v>117</v>
      </c>
    </row>
    <row r="74" spans="1:1" x14ac:dyDescent="0.15">
      <c r="A74" t="s">
        <v>44</v>
      </c>
    </row>
    <row r="75" spans="1:1" x14ac:dyDescent="0.15">
      <c r="A75" t="s">
        <v>69</v>
      </c>
    </row>
    <row r="76" spans="1:1" x14ac:dyDescent="0.15">
      <c r="A76" t="s">
        <v>118</v>
      </c>
    </row>
    <row r="77" spans="1:1" x14ac:dyDescent="0.15">
      <c r="A77" t="s">
        <v>119</v>
      </c>
    </row>
    <row r="78" spans="1:1" x14ac:dyDescent="0.15">
      <c r="A78" t="s">
        <v>120</v>
      </c>
    </row>
    <row r="79" spans="1:1" x14ac:dyDescent="0.15">
      <c r="A79" t="s">
        <v>121</v>
      </c>
    </row>
    <row r="80" spans="1:1" x14ac:dyDescent="0.15">
      <c r="A80" t="s">
        <v>122</v>
      </c>
    </row>
    <row r="81" spans="1:1" x14ac:dyDescent="0.15">
      <c r="A81" t="s">
        <v>45</v>
      </c>
    </row>
    <row r="82" spans="1:1" x14ac:dyDescent="0.15">
      <c r="A82" t="s">
        <v>46</v>
      </c>
    </row>
    <row r="83" spans="1:1" x14ac:dyDescent="0.15">
      <c r="A83" t="s">
        <v>47</v>
      </c>
    </row>
    <row r="84" spans="1:1" x14ac:dyDescent="0.15">
      <c r="A84" t="s">
        <v>123</v>
      </c>
    </row>
    <row r="85" spans="1:1" x14ac:dyDescent="0.15">
      <c r="A85" t="s">
        <v>48</v>
      </c>
    </row>
    <row r="86" spans="1:1" x14ac:dyDescent="0.15">
      <c r="A86" t="s">
        <v>124</v>
      </c>
    </row>
    <row r="87" spans="1:1" x14ac:dyDescent="0.15">
      <c r="A87" t="s">
        <v>49</v>
      </c>
    </row>
    <row r="88" spans="1:1" x14ac:dyDescent="0.15">
      <c r="A88" t="s">
        <v>125</v>
      </c>
    </row>
    <row r="89" spans="1:1" x14ac:dyDescent="0.15">
      <c r="A89" t="s">
        <v>126</v>
      </c>
    </row>
    <row r="90" spans="1:1" x14ac:dyDescent="0.15">
      <c r="A90" t="s">
        <v>127</v>
      </c>
    </row>
    <row r="91" spans="1:1" x14ac:dyDescent="0.15">
      <c r="A91" t="s">
        <v>128</v>
      </c>
    </row>
    <row r="92" spans="1:1" x14ac:dyDescent="0.15">
      <c r="A92" t="s">
        <v>50</v>
      </c>
    </row>
    <row r="93" spans="1:1" x14ac:dyDescent="0.15">
      <c r="A93" t="s">
        <v>70</v>
      </c>
    </row>
    <row r="94" spans="1:1" x14ac:dyDescent="0.15">
      <c r="A94" t="s">
        <v>51</v>
      </c>
    </row>
    <row r="95" spans="1:1" x14ac:dyDescent="0.15">
      <c r="A95" t="s">
        <v>129</v>
      </c>
    </row>
    <row r="96" spans="1:1" x14ac:dyDescent="0.15">
      <c r="A96" t="s">
        <v>130</v>
      </c>
    </row>
    <row r="97" spans="1:1" x14ac:dyDescent="0.15">
      <c r="A97" t="s">
        <v>131</v>
      </c>
    </row>
    <row r="98" spans="1:1" x14ac:dyDescent="0.15">
      <c r="A98" t="s">
        <v>71</v>
      </c>
    </row>
    <row r="99" spans="1:1" x14ac:dyDescent="0.15">
      <c r="A99" t="s">
        <v>132</v>
      </c>
    </row>
    <row r="100" spans="1:1" x14ac:dyDescent="0.15">
      <c r="A100" s="46" t="s">
        <v>134</v>
      </c>
    </row>
    <row r="101" spans="1:1" x14ac:dyDescent="0.15">
      <c r="A101" s="46" t="s">
        <v>135</v>
      </c>
    </row>
    <row r="102" spans="1:1" x14ac:dyDescent="0.15">
      <c r="A102" s="46" t="s">
        <v>136</v>
      </c>
    </row>
    <row r="103" spans="1:1" x14ac:dyDescent="0.15">
      <c r="A103" s="46" t="s">
        <v>137</v>
      </c>
    </row>
    <row r="104" spans="1:1" x14ac:dyDescent="0.15">
      <c r="A104" t="s">
        <v>138</v>
      </c>
    </row>
    <row r="105" spans="1:1" x14ac:dyDescent="0.15">
      <c r="A105" t="s">
        <v>139</v>
      </c>
    </row>
    <row r="106" spans="1:1" x14ac:dyDescent="0.15">
      <c r="A106" s="46" t="s">
        <v>165</v>
      </c>
    </row>
    <row r="107" spans="1:1" x14ac:dyDescent="0.15">
      <c r="A107" t="s">
        <v>140</v>
      </c>
    </row>
    <row r="108" spans="1:1" x14ac:dyDescent="0.15">
      <c r="A108" t="s">
        <v>141</v>
      </c>
    </row>
    <row r="109" spans="1:1" x14ac:dyDescent="0.15">
      <c r="A109" t="s">
        <v>142</v>
      </c>
    </row>
    <row r="110" spans="1:1" x14ac:dyDescent="0.15">
      <c r="A110" s="46" t="s">
        <v>166</v>
      </c>
    </row>
    <row r="111" spans="1:1" x14ac:dyDescent="0.15">
      <c r="A111" t="s">
        <v>143</v>
      </c>
    </row>
    <row r="112" spans="1:1" x14ac:dyDescent="0.15">
      <c r="A112" t="s">
        <v>144</v>
      </c>
    </row>
    <row r="113" spans="1:1" x14ac:dyDescent="0.15">
      <c r="A113" t="s">
        <v>145</v>
      </c>
    </row>
    <row r="114" spans="1:1" x14ac:dyDescent="0.15">
      <c r="A114" t="s">
        <v>146</v>
      </c>
    </row>
    <row r="115" spans="1:1" x14ac:dyDescent="0.15">
      <c r="A115" t="s">
        <v>147</v>
      </c>
    </row>
    <row r="116" spans="1:1" x14ac:dyDescent="0.15">
      <c r="A116" t="s">
        <v>148</v>
      </c>
    </row>
    <row r="117" spans="1:1" x14ac:dyDescent="0.15">
      <c r="A117" t="s">
        <v>149</v>
      </c>
    </row>
    <row r="118" spans="1:1" x14ac:dyDescent="0.15">
      <c r="A118" t="s">
        <v>150</v>
      </c>
    </row>
    <row r="119" spans="1:1" x14ac:dyDescent="0.15">
      <c r="A119" t="s">
        <v>151</v>
      </c>
    </row>
    <row r="120" spans="1:1" x14ac:dyDescent="0.15">
      <c r="A120" t="s">
        <v>152</v>
      </c>
    </row>
    <row r="121" spans="1:1" x14ac:dyDescent="0.15">
      <c r="A121" t="s">
        <v>153</v>
      </c>
    </row>
    <row r="122" spans="1:1" x14ac:dyDescent="0.15">
      <c r="A122" t="s">
        <v>154</v>
      </c>
    </row>
    <row r="123" spans="1:1" x14ac:dyDescent="0.15">
      <c r="A123" t="s">
        <v>155</v>
      </c>
    </row>
    <row r="124" spans="1:1" x14ac:dyDescent="0.15">
      <c r="A124" t="s">
        <v>156</v>
      </c>
    </row>
    <row r="125" spans="1:1" x14ac:dyDescent="0.15">
      <c r="A125" t="s">
        <v>157</v>
      </c>
    </row>
    <row r="126" spans="1:1" x14ac:dyDescent="0.15">
      <c r="A126" t="s">
        <v>158</v>
      </c>
    </row>
    <row r="127" spans="1:1" x14ac:dyDescent="0.15">
      <c r="A127" t="s">
        <v>159</v>
      </c>
    </row>
    <row r="128" spans="1:1" x14ac:dyDescent="0.15">
      <c r="A128" t="s">
        <v>160</v>
      </c>
    </row>
    <row r="129" spans="1:1" x14ac:dyDescent="0.15">
      <c r="A129" t="s">
        <v>161</v>
      </c>
    </row>
    <row r="130" spans="1:1" x14ac:dyDescent="0.15">
      <c r="A130" t="s">
        <v>162</v>
      </c>
    </row>
    <row r="131" spans="1:1" x14ac:dyDescent="0.15">
      <c r="A131" t="s">
        <v>163</v>
      </c>
    </row>
    <row r="132" spans="1:1" x14ac:dyDescent="0.15">
      <c r="A132" t="s">
        <v>126</v>
      </c>
    </row>
    <row r="133" spans="1:1" x14ac:dyDescent="0.15">
      <c r="A133" t="s">
        <v>164</v>
      </c>
    </row>
    <row r="134" spans="1:1" x14ac:dyDescent="0.15">
      <c r="A134" t="s">
        <v>167</v>
      </c>
    </row>
    <row r="135" spans="1:1" x14ac:dyDescent="0.15">
      <c r="A135" t="s">
        <v>168</v>
      </c>
    </row>
    <row r="136" spans="1:1" x14ac:dyDescent="0.15">
      <c r="A136" t="s">
        <v>169</v>
      </c>
    </row>
    <row r="137" spans="1:1" x14ac:dyDescent="0.15">
      <c r="A137" s="46" t="s">
        <v>170</v>
      </c>
    </row>
    <row r="138" spans="1:1" x14ac:dyDescent="0.15">
      <c r="A138" t="s">
        <v>171</v>
      </c>
    </row>
    <row r="139" spans="1:1" x14ac:dyDescent="0.15">
      <c r="A139" t="s">
        <v>172</v>
      </c>
    </row>
    <row r="140" spans="1:1" x14ac:dyDescent="0.15">
      <c r="A140" t="s">
        <v>173</v>
      </c>
    </row>
    <row r="141" spans="1:1" x14ac:dyDescent="0.15">
      <c r="A141" s="46" t="s">
        <v>174</v>
      </c>
    </row>
    <row r="142" spans="1:1" x14ac:dyDescent="0.15">
      <c r="A142" s="46" t="s">
        <v>175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6"/>
  <sheetViews>
    <sheetView tabSelected="1" topLeftCell="A51" zoomScale="113" workbookViewId="0">
      <selection activeCell="N68" sqref="N68"/>
    </sheetView>
  </sheetViews>
  <sheetFormatPr baseColWidth="10" defaultColWidth="12.6640625" defaultRowHeight="15" customHeight="1" x14ac:dyDescent="0.15"/>
  <cols>
    <col min="1" max="1" width="3.6640625" customWidth="1"/>
    <col min="2" max="2" width="24.1640625" customWidth="1"/>
    <col min="3" max="3" width="8.1640625" customWidth="1"/>
    <col min="4" max="4" width="7.1640625" customWidth="1"/>
    <col min="5" max="6" width="8.1640625" customWidth="1"/>
    <col min="7" max="7" width="13" customWidth="1"/>
    <col min="8" max="8" width="11.83203125" customWidth="1"/>
    <col min="9" max="10" width="9.6640625" customWidth="1"/>
    <col min="11" max="11" width="13.33203125" customWidth="1"/>
    <col min="12" max="13" width="9.6640625" customWidth="1"/>
    <col min="14" max="14" width="9.1640625" customWidth="1"/>
    <col min="15" max="15" width="15.33203125" customWidth="1"/>
    <col min="16" max="16" width="8.6640625" customWidth="1"/>
    <col min="17" max="17" width="9" customWidth="1"/>
    <col min="18" max="26" width="8" customWidth="1"/>
  </cols>
  <sheetData>
    <row r="1" spans="1:17" ht="56.25" customHeight="1" x14ac:dyDescent="0.2">
      <c r="A1" s="1"/>
      <c r="B1" s="2"/>
      <c r="C1" s="2"/>
      <c r="D1" s="2"/>
      <c r="E1" s="2"/>
      <c r="F1" s="2"/>
      <c r="G1" s="2"/>
      <c r="H1" s="2"/>
      <c r="I1" s="2"/>
      <c r="J1" s="78"/>
      <c r="K1" s="79"/>
      <c r="L1" s="79"/>
      <c r="M1" s="79"/>
      <c r="N1" s="79"/>
      <c r="O1" s="79"/>
      <c r="P1" s="79"/>
      <c r="Q1" s="80"/>
    </row>
    <row r="2" spans="1:17" ht="18" customHeight="1" x14ac:dyDescent="0.2">
      <c r="A2" s="1"/>
      <c r="B2" s="2"/>
      <c r="C2" s="2"/>
      <c r="D2" s="2"/>
      <c r="E2" s="2"/>
      <c r="F2" s="2"/>
      <c r="G2" s="2"/>
      <c r="H2" s="2"/>
      <c r="I2" s="2"/>
      <c r="J2" s="75" t="s">
        <v>0</v>
      </c>
      <c r="K2" s="59"/>
      <c r="L2" s="59"/>
      <c r="M2" s="59"/>
      <c r="N2" s="60"/>
      <c r="O2" s="81" t="s">
        <v>1</v>
      </c>
      <c r="P2" s="59"/>
      <c r="Q2" s="60"/>
    </row>
    <row r="3" spans="1:17" ht="6.75" customHeight="1" x14ac:dyDescent="0.2">
      <c r="A3" s="1"/>
      <c r="B3" s="3"/>
      <c r="C3" s="3"/>
      <c r="D3" s="3"/>
      <c r="E3" s="2"/>
      <c r="F3" s="2"/>
      <c r="G3" s="4"/>
      <c r="H3" s="2"/>
      <c r="I3" s="2"/>
      <c r="J3" s="61"/>
      <c r="K3" s="62"/>
      <c r="L3" s="62"/>
      <c r="M3" s="62"/>
      <c r="N3" s="63"/>
      <c r="O3" s="61"/>
      <c r="P3" s="62"/>
      <c r="Q3" s="63"/>
    </row>
    <row r="4" spans="1:17" ht="9.75" customHeight="1" x14ac:dyDescent="0.2">
      <c r="A4" s="1"/>
      <c r="B4" s="5"/>
      <c r="C4" s="5"/>
      <c r="D4" s="5"/>
      <c r="E4" s="6"/>
      <c r="F4" s="2"/>
      <c r="G4" s="2"/>
      <c r="H4" s="2"/>
      <c r="I4" s="2"/>
      <c r="J4" s="76">
        <v>46296</v>
      </c>
      <c r="K4" s="59"/>
      <c r="L4" s="59"/>
      <c r="M4" s="59"/>
      <c r="N4" s="60"/>
      <c r="O4" s="81" t="s">
        <v>176</v>
      </c>
      <c r="P4" s="59"/>
      <c r="Q4" s="60"/>
    </row>
    <row r="5" spans="1:17" ht="11.25" customHeight="1" x14ac:dyDescent="0.2">
      <c r="A5" s="1"/>
      <c r="B5" s="2"/>
      <c r="C5" s="2"/>
      <c r="D5" s="2"/>
      <c r="E5" s="2"/>
      <c r="F5" s="2"/>
      <c r="G5" s="2"/>
      <c r="H5" s="2"/>
      <c r="I5" s="2"/>
      <c r="J5" s="61"/>
      <c r="K5" s="62"/>
      <c r="L5" s="62"/>
      <c r="M5" s="62"/>
      <c r="N5" s="63"/>
      <c r="O5" s="61"/>
      <c r="P5" s="62"/>
      <c r="Q5" s="63"/>
    </row>
    <row r="6" spans="1:17" ht="18" hidden="1" customHeight="1" x14ac:dyDescent="0.2">
      <c r="A6" s="1"/>
      <c r="B6" s="2"/>
      <c r="C6" s="2"/>
      <c r="D6" s="2"/>
      <c r="E6" s="2"/>
      <c r="F6" s="2"/>
      <c r="G6" s="2"/>
      <c r="H6" s="2"/>
      <c r="I6" s="2"/>
      <c r="J6" s="75" t="s">
        <v>2</v>
      </c>
      <c r="K6" s="59"/>
      <c r="L6" s="59"/>
      <c r="M6" s="59"/>
      <c r="N6" s="60"/>
      <c r="O6" s="81" t="s">
        <v>3</v>
      </c>
      <c r="P6" s="59"/>
      <c r="Q6" s="60"/>
    </row>
    <row r="7" spans="1:17" ht="21.75" customHeight="1" x14ac:dyDescent="0.2">
      <c r="A7" s="1"/>
      <c r="B7" s="7"/>
      <c r="C7" s="2"/>
      <c r="D7" s="2"/>
      <c r="E7" s="2"/>
      <c r="F7" s="2"/>
      <c r="G7" s="2"/>
      <c r="H7" s="2"/>
      <c r="I7" s="2"/>
      <c r="J7" s="61"/>
      <c r="K7" s="62"/>
      <c r="L7" s="62"/>
      <c r="M7" s="62"/>
      <c r="N7" s="63"/>
      <c r="O7" s="61"/>
      <c r="P7" s="62"/>
      <c r="Q7" s="63"/>
    </row>
    <row r="8" spans="1:17" ht="23.25" customHeight="1" x14ac:dyDescent="0.15">
      <c r="A8" s="67" t="s">
        <v>4</v>
      </c>
      <c r="B8" s="52"/>
      <c r="C8" s="52"/>
      <c r="D8" s="52"/>
      <c r="E8" s="52"/>
      <c r="F8" s="52"/>
      <c r="G8" s="52"/>
      <c r="H8" s="52"/>
      <c r="I8" s="68"/>
      <c r="J8" s="76">
        <v>46292</v>
      </c>
      <c r="K8" s="59"/>
      <c r="L8" s="59"/>
      <c r="M8" s="59"/>
      <c r="N8" s="60"/>
      <c r="O8" s="77">
        <v>46298</v>
      </c>
      <c r="P8" s="59"/>
      <c r="Q8" s="60"/>
    </row>
    <row r="9" spans="1:17" ht="2.25" customHeight="1" x14ac:dyDescent="0.2">
      <c r="A9" s="1"/>
      <c r="B9" s="2"/>
      <c r="C9" s="2"/>
      <c r="D9" s="2"/>
      <c r="E9" s="2"/>
      <c r="F9" s="2"/>
      <c r="G9" s="2"/>
      <c r="H9" s="2"/>
      <c r="I9" s="2"/>
      <c r="J9" s="61"/>
      <c r="K9" s="62"/>
      <c r="L9" s="62"/>
      <c r="M9" s="62"/>
      <c r="N9" s="63"/>
      <c r="O9" s="61"/>
      <c r="P9" s="62"/>
      <c r="Q9" s="63"/>
    </row>
    <row r="10" spans="1:17" ht="6.75" customHeight="1" x14ac:dyDescent="0.2">
      <c r="A10" s="1"/>
      <c r="B10" s="2"/>
      <c r="C10" s="2"/>
      <c r="D10" s="2"/>
      <c r="E10" s="2"/>
      <c r="F10" s="2"/>
      <c r="G10" s="2"/>
      <c r="H10" s="2"/>
      <c r="I10" s="2"/>
      <c r="J10" s="2"/>
    </row>
    <row r="11" spans="1:17" ht="6.75" customHeight="1" x14ac:dyDescent="0.2">
      <c r="A11" s="1"/>
      <c r="B11" s="2"/>
      <c r="C11" s="2"/>
      <c r="D11" s="2"/>
      <c r="E11" s="2"/>
      <c r="F11" s="2"/>
      <c r="G11" s="2"/>
      <c r="H11" s="2"/>
      <c r="I11" s="2"/>
      <c r="J11" s="2"/>
    </row>
    <row r="12" spans="1:17" ht="20.25" customHeight="1" x14ac:dyDescent="0.2">
      <c r="A12" s="69" t="s">
        <v>5</v>
      </c>
      <c r="B12" s="52"/>
      <c r="C12" s="52"/>
      <c r="D12" s="52"/>
      <c r="E12" s="8"/>
      <c r="F12" s="8"/>
      <c r="G12" s="8"/>
      <c r="H12" s="2"/>
      <c r="I12" s="2"/>
      <c r="J12" s="70" t="s">
        <v>6</v>
      </c>
      <c r="K12" s="52"/>
      <c r="L12" s="52"/>
    </row>
    <row r="13" spans="1:17" ht="18" customHeight="1" x14ac:dyDescent="0.2">
      <c r="A13" s="1"/>
      <c r="B13" s="2"/>
      <c r="C13" s="2"/>
      <c r="D13" s="2"/>
      <c r="E13" s="2"/>
      <c r="F13" s="2"/>
      <c r="G13" s="2"/>
      <c r="H13" s="2"/>
      <c r="I13" s="2"/>
      <c r="J13" s="2"/>
    </row>
    <row r="14" spans="1:17" ht="18" customHeight="1" x14ac:dyDescent="0.2">
      <c r="A14" s="1"/>
      <c r="B14" s="2"/>
      <c r="C14" s="2"/>
      <c r="D14" s="2"/>
      <c r="E14" s="2"/>
      <c r="F14" s="2"/>
      <c r="G14" s="2"/>
      <c r="H14" s="2"/>
      <c r="I14" s="2"/>
      <c r="J14" s="2"/>
    </row>
    <row r="15" spans="1:17" ht="18" customHeight="1" x14ac:dyDescent="0.2">
      <c r="A15" s="1"/>
      <c r="B15" s="2"/>
      <c r="C15" s="2"/>
      <c r="D15" s="2"/>
      <c r="E15" s="2"/>
      <c r="F15" s="2"/>
      <c r="G15" s="2"/>
      <c r="H15" s="2"/>
      <c r="I15" s="2"/>
      <c r="J15" s="2"/>
    </row>
    <row r="16" spans="1:17" ht="18" customHeight="1" x14ac:dyDescent="0.2">
      <c r="A16" s="1"/>
      <c r="B16" s="2"/>
      <c r="C16" s="2"/>
      <c r="D16" s="2"/>
      <c r="E16" s="2"/>
      <c r="F16" s="2"/>
      <c r="G16" s="2"/>
      <c r="H16" s="2"/>
      <c r="I16" s="2"/>
      <c r="J16" s="2"/>
    </row>
    <row r="17" spans="1:20" ht="18" customHeight="1" x14ac:dyDescent="0.2">
      <c r="A17" s="1"/>
      <c r="B17" s="2"/>
      <c r="C17" s="2"/>
      <c r="D17" s="2"/>
      <c r="E17" s="2"/>
      <c r="F17" s="2"/>
      <c r="G17" s="2"/>
      <c r="H17" s="2"/>
      <c r="I17" s="2"/>
      <c r="J17" s="2"/>
    </row>
    <row r="18" spans="1:20" ht="18" customHeight="1" x14ac:dyDescent="0.2">
      <c r="A18" s="1"/>
      <c r="B18" s="2"/>
      <c r="C18" s="2"/>
      <c r="D18" s="2"/>
      <c r="E18" s="2"/>
      <c r="F18" s="2"/>
      <c r="G18" s="2"/>
      <c r="H18" s="2"/>
      <c r="I18" s="2"/>
      <c r="J18" s="2"/>
    </row>
    <row r="19" spans="1:20" ht="18" hidden="1" customHeight="1" x14ac:dyDescent="0.2">
      <c r="A19" s="1"/>
      <c r="B19" s="2"/>
      <c r="C19" s="2"/>
      <c r="D19" s="2"/>
      <c r="E19" s="2"/>
      <c r="F19" s="2"/>
      <c r="G19" s="2"/>
      <c r="H19" s="2"/>
      <c r="I19" s="2"/>
      <c r="J19" s="2"/>
    </row>
    <row r="20" spans="1:20" ht="26.25" customHeight="1" x14ac:dyDescent="0.2">
      <c r="A20" s="1"/>
      <c r="B20" s="71" t="s">
        <v>7</v>
      </c>
      <c r="C20" s="52"/>
      <c r="D20" s="52"/>
      <c r="E20" s="52"/>
      <c r="F20" s="52"/>
      <c r="G20" s="52"/>
      <c r="H20" s="52"/>
      <c r="I20" s="10"/>
      <c r="J20" s="72" t="s">
        <v>8</v>
      </c>
      <c r="K20" s="73"/>
      <c r="L20" s="73"/>
      <c r="M20" s="73"/>
      <c r="N20" s="73"/>
      <c r="O20" s="73"/>
      <c r="P20" s="73"/>
      <c r="Q20" s="74"/>
    </row>
    <row r="21" spans="1:20" ht="26.25" customHeight="1" x14ac:dyDescent="0.2">
      <c r="A21" s="1"/>
      <c r="B21" s="9"/>
      <c r="C21" s="9"/>
      <c r="D21" s="9"/>
      <c r="E21" s="9"/>
      <c r="F21" s="9"/>
      <c r="G21" s="9"/>
      <c r="H21" s="9"/>
      <c r="I21" s="10"/>
      <c r="J21" s="11"/>
      <c r="K21" s="11"/>
      <c r="L21" s="11"/>
      <c r="M21" s="11"/>
      <c r="N21" s="11"/>
      <c r="O21" s="11"/>
      <c r="P21" s="11"/>
      <c r="Q21" s="11"/>
    </row>
    <row r="22" spans="1:20" ht="18" customHeight="1" x14ac:dyDescent="0.2">
      <c r="A22" s="1"/>
      <c r="B22" s="57" t="s">
        <v>9</v>
      </c>
      <c r="C22" s="52"/>
      <c r="D22" s="52"/>
      <c r="E22" s="52"/>
      <c r="F22" s="52"/>
      <c r="G22" s="52"/>
      <c r="H22" s="52"/>
      <c r="I22" s="12" t="s">
        <v>10</v>
      </c>
      <c r="J22" s="58">
        <f>(SUM(K68:N68)+C72+C73)</f>
        <v>36947.280899999998</v>
      </c>
      <c r="K22" s="59"/>
      <c r="L22" s="59"/>
      <c r="M22" s="59"/>
      <c r="N22" s="59"/>
      <c r="O22" s="59"/>
      <c r="P22" s="59"/>
      <c r="Q22" s="60"/>
    </row>
    <row r="23" spans="1:20" ht="11.25" customHeight="1" x14ac:dyDescent="0.2">
      <c r="A23" s="1"/>
      <c r="B23" s="52"/>
      <c r="C23" s="52"/>
      <c r="D23" s="52"/>
      <c r="E23" s="52"/>
      <c r="F23" s="52"/>
      <c r="G23" s="52"/>
      <c r="H23" s="52"/>
      <c r="I23" s="12"/>
      <c r="J23" s="61"/>
      <c r="K23" s="62"/>
      <c r="L23" s="62"/>
      <c r="M23" s="62"/>
      <c r="N23" s="62"/>
      <c r="O23" s="62"/>
      <c r="P23" s="62"/>
      <c r="Q23" s="63"/>
    </row>
    <row r="24" spans="1:20" ht="6" hidden="1" customHeight="1" x14ac:dyDescent="0.2">
      <c r="A24" s="1"/>
      <c r="B24" s="12"/>
      <c r="C24" s="12"/>
      <c r="D24" s="12"/>
      <c r="E24" s="12"/>
      <c r="F24" s="12"/>
      <c r="G24" s="12"/>
      <c r="H24" s="12"/>
      <c r="I24" s="12"/>
      <c r="J24" s="13"/>
      <c r="K24" s="13"/>
      <c r="L24" s="13"/>
      <c r="M24" s="13"/>
      <c r="N24" s="13"/>
      <c r="O24" s="13"/>
      <c r="P24" s="13"/>
      <c r="Q24" s="13"/>
    </row>
    <row r="25" spans="1:20" ht="2.25" hidden="1" customHeight="1" x14ac:dyDescent="0.2">
      <c r="A25" s="1"/>
      <c r="B25" s="10"/>
      <c r="C25" s="10"/>
      <c r="D25" s="10"/>
      <c r="E25" s="14"/>
      <c r="F25" s="14"/>
      <c r="G25" s="14"/>
      <c r="H25" s="10"/>
      <c r="I25" s="10"/>
      <c r="J25" s="10"/>
    </row>
    <row r="26" spans="1:20" ht="2.25" customHeight="1" x14ac:dyDescent="0.2">
      <c r="A26" s="1"/>
      <c r="B26" s="10"/>
      <c r="C26" s="10"/>
      <c r="D26" s="10"/>
      <c r="E26" s="14"/>
      <c r="F26" s="14"/>
      <c r="G26" s="14"/>
      <c r="H26" s="10"/>
      <c r="I26" s="10"/>
      <c r="J26" s="10"/>
    </row>
    <row r="27" spans="1:20" ht="16.5" customHeight="1" x14ac:dyDescent="0.2">
      <c r="A27" s="1"/>
      <c r="B27" s="10"/>
      <c r="C27" s="10"/>
      <c r="D27" s="10"/>
      <c r="E27" s="14"/>
      <c r="F27" s="14"/>
      <c r="G27" s="14"/>
      <c r="H27" s="10"/>
      <c r="I27" s="10"/>
      <c r="J27" s="10"/>
    </row>
    <row r="28" spans="1:20" ht="13.5" customHeight="1" x14ac:dyDescent="0.2">
      <c r="A28" s="1"/>
      <c r="B28" s="10"/>
      <c r="C28" s="10"/>
      <c r="D28" s="10"/>
      <c r="E28" s="14"/>
      <c r="F28" s="14"/>
      <c r="G28" s="14"/>
      <c r="H28" s="10" t="s">
        <v>10</v>
      </c>
      <c r="I28" s="10"/>
      <c r="J28" s="10"/>
    </row>
    <row r="29" spans="1:20" ht="45" customHeight="1" x14ac:dyDescent="0.15">
      <c r="A29" s="15" t="s">
        <v>11</v>
      </c>
      <c r="B29" s="16" t="s">
        <v>12</v>
      </c>
      <c r="C29" s="15" t="s">
        <v>13</v>
      </c>
      <c r="D29" s="15" t="s">
        <v>14</v>
      </c>
      <c r="E29" s="15" t="s">
        <v>15</v>
      </c>
      <c r="F29" s="15" t="s">
        <v>16</v>
      </c>
      <c r="G29" s="15" t="s">
        <v>17</v>
      </c>
      <c r="H29" s="17" t="s">
        <v>18</v>
      </c>
      <c r="I29" s="17" t="s">
        <v>19</v>
      </c>
      <c r="J29" s="18" t="s">
        <v>20</v>
      </c>
      <c r="K29" s="17" t="s">
        <v>21</v>
      </c>
      <c r="L29" s="17" t="s">
        <v>22</v>
      </c>
      <c r="M29" s="17" t="s">
        <v>23</v>
      </c>
      <c r="N29" s="17" t="s">
        <v>24</v>
      </c>
      <c r="O29" s="17" t="s">
        <v>25</v>
      </c>
      <c r="P29" s="17" t="s">
        <v>26</v>
      </c>
      <c r="Q29" s="17" t="s">
        <v>27</v>
      </c>
      <c r="R29" s="19"/>
      <c r="S29" s="20"/>
      <c r="T29" s="20"/>
    </row>
    <row r="30" spans="1:20" ht="22.5" customHeight="1" x14ac:dyDescent="0.15">
      <c r="A30" s="21">
        <v>1</v>
      </c>
      <c r="B30" s="22" t="s">
        <v>134</v>
      </c>
      <c r="C30" s="47"/>
      <c r="D30" s="47"/>
      <c r="E30" s="47"/>
      <c r="F30" s="48"/>
      <c r="G30" s="45">
        <v>0</v>
      </c>
      <c r="H30" s="23">
        <f>(C30+D30)*P30</f>
        <v>0</v>
      </c>
      <c r="I30" s="23"/>
      <c r="J30" s="23">
        <v>1285</v>
      </c>
      <c r="K30" s="23">
        <f>SUM(G30:J30)</f>
        <v>1285</v>
      </c>
      <c r="L30" s="23"/>
      <c r="M30" s="23"/>
      <c r="N30" s="23">
        <v>0</v>
      </c>
      <c r="O30" s="23">
        <f t="shared" ref="O30:O33" si="0">SUM(K30:N30)</f>
        <v>1285</v>
      </c>
      <c r="P30" s="23">
        <v>15</v>
      </c>
      <c r="Q30" s="24">
        <f t="shared" ref="Q30:Q34" si="1">P30*1.5</f>
        <v>22.5</v>
      </c>
    </row>
    <row r="31" spans="1:20" ht="22.5" customHeight="1" x14ac:dyDescent="0.15">
      <c r="A31" s="21">
        <v>2</v>
      </c>
      <c r="B31" s="22" t="s">
        <v>170</v>
      </c>
      <c r="C31" s="47">
        <v>41</v>
      </c>
      <c r="D31" s="47"/>
      <c r="E31" s="47"/>
      <c r="F31" s="48">
        <v>6</v>
      </c>
      <c r="G31" s="45">
        <v>72</v>
      </c>
      <c r="H31" s="23">
        <f t="shared" ref="H31:H67" si="2">(C31+D31)*P31</f>
        <v>615</v>
      </c>
      <c r="I31" s="23">
        <v>64.099999999999994</v>
      </c>
      <c r="J31" s="23"/>
      <c r="K31" s="23">
        <f t="shared" ref="K31:K67" si="3">SUM(G31:J31)</f>
        <v>751.1</v>
      </c>
      <c r="L31" s="23"/>
      <c r="M31" s="23"/>
      <c r="N31" s="23">
        <v>48.98</v>
      </c>
      <c r="O31" s="23">
        <f t="shared" ref="O31:O32" si="4">SUM(K31:N31)</f>
        <v>800.08</v>
      </c>
      <c r="P31" s="23">
        <v>15</v>
      </c>
      <c r="Q31" s="24">
        <f t="shared" ref="Q31" si="5">P31*1.5</f>
        <v>22.5</v>
      </c>
    </row>
    <row r="32" spans="1:20" ht="22.5" customHeight="1" x14ac:dyDescent="0.15">
      <c r="A32" s="21">
        <v>3</v>
      </c>
      <c r="B32" s="22" t="s">
        <v>173</v>
      </c>
      <c r="C32" s="47">
        <v>44</v>
      </c>
      <c r="D32" s="47"/>
      <c r="E32" s="47"/>
      <c r="F32" s="48">
        <v>1</v>
      </c>
      <c r="G32" s="45">
        <v>0</v>
      </c>
      <c r="H32" s="23">
        <f t="shared" si="2"/>
        <v>660</v>
      </c>
      <c r="I32" s="23">
        <v>67</v>
      </c>
      <c r="J32" s="23"/>
      <c r="K32" s="23">
        <f t="shared" si="3"/>
        <v>727</v>
      </c>
      <c r="L32" s="23"/>
      <c r="M32" s="23"/>
      <c r="N32" s="23">
        <v>8.26</v>
      </c>
      <c r="O32" s="23">
        <f t="shared" si="4"/>
        <v>735.26</v>
      </c>
      <c r="P32" s="23">
        <v>15</v>
      </c>
      <c r="Q32" s="24">
        <v>22.5</v>
      </c>
    </row>
    <row r="33" spans="1:17" ht="22.5" customHeight="1" x14ac:dyDescent="0.15">
      <c r="A33" s="21">
        <v>4</v>
      </c>
      <c r="B33" s="22" t="s">
        <v>135</v>
      </c>
      <c r="C33" s="47">
        <v>41</v>
      </c>
      <c r="D33" s="47"/>
      <c r="E33" s="47"/>
      <c r="F33" s="48">
        <v>11</v>
      </c>
      <c r="G33" s="45">
        <v>547.20000000000005</v>
      </c>
      <c r="H33" s="23">
        <f t="shared" si="2"/>
        <v>615</v>
      </c>
      <c r="I33" s="23"/>
      <c r="J33" s="23"/>
      <c r="K33" s="23">
        <f t="shared" si="3"/>
        <v>1162.2</v>
      </c>
      <c r="L33" s="23"/>
      <c r="M33" s="23"/>
      <c r="N33" s="23">
        <v>125.34</v>
      </c>
      <c r="O33" s="23">
        <f t="shared" si="0"/>
        <v>1287.54</v>
      </c>
      <c r="P33" s="23">
        <v>15</v>
      </c>
      <c r="Q33" s="24">
        <f t="shared" si="1"/>
        <v>22.5</v>
      </c>
    </row>
    <row r="34" spans="1:17" ht="22.5" customHeight="1" x14ac:dyDescent="0.15">
      <c r="A34" s="21">
        <v>5</v>
      </c>
      <c r="B34" s="22" t="s">
        <v>136</v>
      </c>
      <c r="C34" s="47">
        <v>48</v>
      </c>
      <c r="D34" s="47"/>
      <c r="E34" s="47"/>
      <c r="F34" s="48">
        <v>8</v>
      </c>
      <c r="G34" s="45">
        <v>0</v>
      </c>
      <c r="H34" s="23">
        <f t="shared" si="2"/>
        <v>720</v>
      </c>
      <c r="I34" s="23">
        <v>42</v>
      </c>
      <c r="J34" s="23"/>
      <c r="K34" s="23">
        <f t="shared" si="3"/>
        <v>762</v>
      </c>
      <c r="L34" s="23"/>
      <c r="M34" s="23"/>
      <c r="N34" s="23">
        <v>63.5</v>
      </c>
      <c r="O34" s="23">
        <f t="shared" ref="O34:O67" si="6">SUM(K34:N34)</f>
        <v>825.5</v>
      </c>
      <c r="P34" s="23">
        <v>15</v>
      </c>
      <c r="Q34" s="24">
        <f t="shared" si="1"/>
        <v>22.5</v>
      </c>
    </row>
    <row r="35" spans="1:17" ht="22.5" customHeight="1" x14ac:dyDescent="0.15">
      <c r="A35" s="21">
        <v>6</v>
      </c>
      <c r="B35" s="22" t="s">
        <v>137</v>
      </c>
      <c r="C35" s="47">
        <v>43</v>
      </c>
      <c r="D35" s="47"/>
      <c r="E35" s="47"/>
      <c r="F35" s="48">
        <v>3</v>
      </c>
      <c r="G35" s="45">
        <v>0</v>
      </c>
      <c r="H35" s="23">
        <f t="shared" si="2"/>
        <v>645</v>
      </c>
      <c r="I35" s="23">
        <v>176.4</v>
      </c>
      <c r="J35" s="23"/>
      <c r="K35" s="23">
        <f t="shared" si="3"/>
        <v>821.4</v>
      </c>
      <c r="L35" s="23"/>
      <c r="M35" s="23"/>
      <c r="N35" s="23">
        <v>28.65</v>
      </c>
      <c r="O35" s="23">
        <f t="shared" si="6"/>
        <v>850.05</v>
      </c>
      <c r="P35" s="23">
        <v>15</v>
      </c>
      <c r="Q35" s="24">
        <f t="shared" ref="Q35:Q67" si="7">P35*1.5</f>
        <v>22.5</v>
      </c>
    </row>
    <row r="36" spans="1:17" ht="22.5" customHeight="1" x14ac:dyDescent="0.15">
      <c r="A36" s="21">
        <v>7</v>
      </c>
      <c r="B36" s="22" t="s">
        <v>138</v>
      </c>
      <c r="C36" s="47">
        <v>42</v>
      </c>
      <c r="D36" s="47"/>
      <c r="E36" s="47"/>
      <c r="F36" s="48">
        <v>2</v>
      </c>
      <c r="G36" s="45">
        <v>0</v>
      </c>
      <c r="H36" s="23">
        <f t="shared" si="2"/>
        <v>630</v>
      </c>
      <c r="I36" s="23">
        <v>39.1</v>
      </c>
      <c r="J36" s="23"/>
      <c r="K36" s="23">
        <f t="shared" si="3"/>
        <v>669.1</v>
      </c>
      <c r="L36" s="23"/>
      <c r="M36" s="23"/>
      <c r="N36" s="23">
        <v>15.93</v>
      </c>
      <c r="O36" s="23">
        <f t="shared" si="6"/>
        <v>685.03</v>
      </c>
      <c r="P36" s="23">
        <v>15</v>
      </c>
      <c r="Q36" s="24">
        <f t="shared" si="7"/>
        <v>22.5</v>
      </c>
    </row>
    <row r="37" spans="1:17" ht="22.5" customHeight="1" x14ac:dyDescent="0.15">
      <c r="A37" s="21">
        <v>8</v>
      </c>
      <c r="B37" s="22" t="s">
        <v>139</v>
      </c>
      <c r="C37" s="47">
        <v>45</v>
      </c>
      <c r="D37" s="47"/>
      <c r="E37" s="47"/>
      <c r="F37" s="48"/>
      <c r="G37" s="45">
        <v>916.5</v>
      </c>
      <c r="H37" s="23">
        <f t="shared" si="2"/>
        <v>675</v>
      </c>
      <c r="I37" s="23">
        <v>8.5</v>
      </c>
      <c r="J37" s="23"/>
      <c r="K37" s="23">
        <f t="shared" si="3"/>
        <v>1600</v>
      </c>
      <c r="L37" s="23"/>
      <c r="M37" s="23"/>
      <c r="N37" s="23">
        <v>0</v>
      </c>
      <c r="O37" s="23">
        <f t="shared" si="6"/>
        <v>1600</v>
      </c>
      <c r="P37" s="23">
        <v>15</v>
      </c>
      <c r="Q37" s="24">
        <f t="shared" si="7"/>
        <v>22.5</v>
      </c>
    </row>
    <row r="38" spans="1:17" ht="22.5" customHeight="1" x14ac:dyDescent="0.15">
      <c r="A38" s="21">
        <v>9</v>
      </c>
      <c r="B38" s="22" t="s">
        <v>165</v>
      </c>
      <c r="C38" s="47">
        <v>50</v>
      </c>
      <c r="D38" s="47"/>
      <c r="E38" s="47"/>
      <c r="F38" s="48">
        <v>10</v>
      </c>
      <c r="G38" s="45">
        <v>0</v>
      </c>
      <c r="H38" s="23">
        <f t="shared" si="2"/>
        <v>750</v>
      </c>
      <c r="I38" s="23">
        <v>159.1</v>
      </c>
      <c r="J38" s="23"/>
      <c r="K38" s="23">
        <f t="shared" si="3"/>
        <v>909.1</v>
      </c>
      <c r="L38" s="23"/>
      <c r="M38" s="23"/>
      <c r="N38" s="23">
        <v>90.91</v>
      </c>
      <c r="O38" s="23">
        <f t="shared" si="6"/>
        <v>1000.01</v>
      </c>
      <c r="P38" s="23">
        <v>15</v>
      </c>
      <c r="Q38" s="24">
        <f t="shared" si="7"/>
        <v>22.5</v>
      </c>
    </row>
    <row r="39" spans="1:17" ht="22.5" customHeight="1" x14ac:dyDescent="0.15">
      <c r="A39" s="21">
        <v>10</v>
      </c>
      <c r="B39" s="22" t="s">
        <v>140</v>
      </c>
      <c r="C39" s="47"/>
      <c r="D39" s="47"/>
      <c r="E39" s="47"/>
      <c r="F39" s="48">
        <v>7</v>
      </c>
      <c r="G39" s="45">
        <v>1416</v>
      </c>
      <c r="H39" s="23">
        <f t="shared" si="2"/>
        <v>0</v>
      </c>
      <c r="I39" s="23"/>
      <c r="J39" s="23"/>
      <c r="K39" s="23">
        <f t="shared" si="3"/>
        <v>1416</v>
      </c>
      <c r="L39" s="23"/>
      <c r="M39" s="23"/>
      <c r="N39" s="23">
        <v>105.45</v>
      </c>
      <c r="O39" s="23">
        <f t="shared" si="6"/>
        <v>1521.45</v>
      </c>
      <c r="P39" s="23">
        <v>15</v>
      </c>
      <c r="Q39" s="24">
        <f t="shared" si="7"/>
        <v>22.5</v>
      </c>
    </row>
    <row r="40" spans="1:17" ht="22.5" customHeight="1" x14ac:dyDescent="0.15">
      <c r="A40" s="21">
        <v>11</v>
      </c>
      <c r="B40" s="22" t="s">
        <v>141</v>
      </c>
      <c r="C40" s="47">
        <v>40</v>
      </c>
      <c r="D40" s="47"/>
      <c r="E40" s="47"/>
      <c r="F40" s="48"/>
      <c r="G40" s="45">
        <v>0</v>
      </c>
      <c r="H40" s="23">
        <f t="shared" si="2"/>
        <v>600</v>
      </c>
      <c r="I40" s="23">
        <v>25</v>
      </c>
      <c r="J40" s="23"/>
      <c r="K40" s="23">
        <f t="shared" si="3"/>
        <v>625</v>
      </c>
      <c r="L40" s="23"/>
      <c r="M40" s="23"/>
      <c r="N40" s="23">
        <v>0</v>
      </c>
      <c r="O40" s="23">
        <f t="shared" si="6"/>
        <v>625</v>
      </c>
      <c r="P40" s="23">
        <v>15</v>
      </c>
      <c r="Q40" s="24">
        <f t="shared" si="7"/>
        <v>22.5</v>
      </c>
    </row>
    <row r="41" spans="1:17" ht="22.5" customHeight="1" x14ac:dyDescent="0.15">
      <c r="A41" s="21">
        <v>12</v>
      </c>
      <c r="B41" s="22" t="s">
        <v>174</v>
      </c>
      <c r="C41" s="47">
        <v>40</v>
      </c>
      <c r="D41" s="47"/>
      <c r="E41" s="47"/>
      <c r="F41" s="48"/>
      <c r="G41" s="45">
        <v>0</v>
      </c>
      <c r="H41" s="23">
        <f t="shared" si="2"/>
        <v>600</v>
      </c>
      <c r="I41" s="23"/>
      <c r="J41" s="23"/>
      <c r="K41" s="23">
        <f t="shared" si="3"/>
        <v>600</v>
      </c>
      <c r="L41" s="23"/>
      <c r="M41" s="23"/>
      <c r="N41" s="23">
        <v>0</v>
      </c>
      <c r="O41" s="23">
        <f t="shared" si="6"/>
        <v>600</v>
      </c>
      <c r="P41" s="23">
        <v>15</v>
      </c>
      <c r="Q41" s="24">
        <f t="shared" si="7"/>
        <v>22.5</v>
      </c>
    </row>
    <row r="42" spans="1:17" ht="22.5" customHeight="1" x14ac:dyDescent="0.15">
      <c r="A42" s="21">
        <v>13</v>
      </c>
      <c r="B42" s="22" t="s">
        <v>142</v>
      </c>
      <c r="C42" s="47">
        <v>39</v>
      </c>
      <c r="D42" s="47"/>
      <c r="E42" s="47"/>
      <c r="F42" s="48"/>
      <c r="G42" s="45">
        <v>0</v>
      </c>
      <c r="H42" s="23">
        <f t="shared" si="2"/>
        <v>585</v>
      </c>
      <c r="I42" s="23">
        <v>30</v>
      </c>
      <c r="J42" s="23"/>
      <c r="K42" s="23">
        <f t="shared" si="3"/>
        <v>615</v>
      </c>
      <c r="L42" s="23"/>
      <c r="M42" s="23"/>
      <c r="N42" s="23">
        <v>0</v>
      </c>
      <c r="O42" s="23">
        <f t="shared" si="6"/>
        <v>615</v>
      </c>
      <c r="P42" s="23">
        <v>15</v>
      </c>
      <c r="Q42" s="24">
        <f t="shared" si="7"/>
        <v>22.5</v>
      </c>
    </row>
    <row r="43" spans="1:17" ht="22.5" customHeight="1" x14ac:dyDescent="0.15">
      <c r="A43" s="21">
        <v>14</v>
      </c>
      <c r="B43" s="22" t="s">
        <v>166</v>
      </c>
      <c r="C43" s="47">
        <v>41</v>
      </c>
      <c r="D43" s="47"/>
      <c r="E43" s="47"/>
      <c r="F43" s="48">
        <v>10</v>
      </c>
      <c r="G43" s="45">
        <v>364</v>
      </c>
      <c r="H43" s="23">
        <f t="shared" si="2"/>
        <v>615</v>
      </c>
      <c r="I43" s="23">
        <v>21</v>
      </c>
      <c r="J43" s="23"/>
      <c r="K43" s="23">
        <f t="shared" si="3"/>
        <v>1000</v>
      </c>
      <c r="L43" s="23"/>
      <c r="M43" s="23"/>
      <c r="N43" s="23">
        <v>100</v>
      </c>
      <c r="O43" s="23">
        <f t="shared" si="6"/>
        <v>1100</v>
      </c>
      <c r="P43" s="23">
        <v>15</v>
      </c>
      <c r="Q43" s="24">
        <f t="shared" si="7"/>
        <v>22.5</v>
      </c>
    </row>
    <row r="44" spans="1:17" ht="22.5" customHeight="1" x14ac:dyDescent="0.15">
      <c r="A44" s="21">
        <v>15</v>
      </c>
      <c r="B44" s="22" t="s">
        <v>143</v>
      </c>
      <c r="C44" s="47">
        <v>40</v>
      </c>
      <c r="D44" s="47"/>
      <c r="E44" s="47"/>
      <c r="F44" s="48">
        <v>10</v>
      </c>
      <c r="G44" s="45">
        <v>367.04</v>
      </c>
      <c r="H44" s="23">
        <f t="shared" si="2"/>
        <v>600</v>
      </c>
      <c r="I44" s="23"/>
      <c r="J44" s="23"/>
      <c r="K44" s="23">
        <f t="shared" si="3"/>
        <v>967.04</v>
      </c>
      <c r="L44" s="23"/>
      <c r="M44" s="23"/>
      <c r="N44" s="23">
        <v>96.7</v>
      </c>
      <c r="O44" s="23">
        <f t="shared" si="6"/>
        <v>1063.74</v>
      </c>
      <c r="P44" s="23">
        <v>15</v>
      </c>
      <c r="Q44" s="24">
        <f t="shared" si="7"/>
        <v>22.5</v>
      </c>
    </row>
    <row r="45" spans="1:17" ht="22.5" customHeight="1" x14ac:dyDescent="0.15">
      <c r="A45" s="21">
        <v>16</v>
      </c>
      <c r="B45" s="22" t="s">
        <v>144</v>
      </c>
      <c r="C45" s="47"/>
      <c r="D45" s="47"/>
      <c r="E45" s="47"/>
      <c r="F45" s="48"/>
      <c r="G45" s="45">
        <v>1350</v>
      </c>
      <c r="H45" s="23">
        <f t="shared" si="2"/>
        <v>0</v>
      </c>
      <c r="I45" s="23"/>
      <c r="J45" s="23"/>
      <c r="K45" s="23">
        <f t="shared" si="3"/>
        <v>1350</v>
      </c>
      <c r="L45" s="23"/>
      <c r="M45" s="23"/>
      <c r="N45" s="23">
        <v>0</v>
      </c>
      <c r="O45" s="23">
        <f t="shared" si="6"/>
        <v>1350</v>
      </c>
      <c r="P45" s="23">
        <v>15</v>
      </c>
      <c r="Q45" s="24">
        <f t="shared" si="7"/>
        <v>22.5</v>
      </c>
    </row>
    <row r="46" spans="1:17" ht="22.5" customHeight="1" x14ac:dyDescent="0.15">
      <c r="A46" s="21">
        <v>17</v>
      </c>
      <c r="B46" s="22" t="s">
        <v>145</v>
      </c>
      <c r="C46" s="47">
        <v>42</v>
      </c>
      <c r="D46" s="47"/>
      <c r="E46" s="47"/>
      <c r="F46" s="48">
        <v>2</v>
      </c>
      <c r="G46" s="45">
        <v>0</v>
      </c>
      <c r="H46" s="23">
        <f t="shared" si="2"/>
        <v>630</v>
      </c>
      <c r="I46" s="23">
        <v>54</v>
      </c>
      <c r="J46" s="23"/>
      <c r="K46" s="23">
        <f t="shared" si="3"/>
        <v>684</v>
      </c>
      <c r="L46" s="23"/>
      <c r="M46" s="23"/>
      <c r="N46" s="23">
        <v>16.29</v>
      </c>
      <c r="O46" s="23">
        <f t="shared" si="6"/>
        <v>700.29</v>
      </c>
      <c r="P46" s="23">
        <v>15</v>
      </c>
      <c r="Q46" s="24">
        <f t="shared" si="7"/>
        <v>22.5</v>
      </c>
    </row>
    <row r="47" spans="1:17" ht="22.5" customHeight="1" x14ac:dyDescent="0.15">
      <c r="A47" s="21">
        <v>18</v>
      </c>
      <c r="B47" s="22" t="s">
        <v>146</v>
      </c>
      <c r="C47" s="47">
        <v>50</v>
      </c>
      <c r="D47" s="47"/>
      <c r="E47" s="47"/>
      <c r="F47" s="48">
        <v>10</v>
      </c>
      <c r="G47" s="45">
        <v>0</v>
      </c>
      <c r="H47" s="23">
        <f t="shared" si="2"/>
        <v>750</v>
      </c>
      <c r="I47" s="23">
        <v>91</v>
      </c>
      <c r="J47" s="23"/>
      <c r="K47" s="23">
        <f t="shared" si="3"/>
        <v>841</v>
      </c>
      <c r="L47" s="23"/>
      <c r="M47" s="23"/>
      <c r="N47" s="23">
        <v>84.1</v>
      </c>
      <c r="O47" s="23">
        <f t="shared" si="6"/>
        <v>925.1</v>
      </c>
      <c r="P47" s="23">
        <v>15</v>
      </c>
      <c r="Q47" s="24">
        <f t="shared" si="7"/>
        <v>22.5</v>
      </c>
    </row>
    <row r="48" spans="1:17" ht="22.5" customHeight="1" x14ac:dyDescent="0.15">
      <c r="A48" s="21">
        <v>19</v>
      </c>
      <c r="B48" s="22" t="s">
        <v>147</v>
      </c>
      <c r="C48" s="47">
        <v>45</v>
      </c>
      <c r="D48" s="47"/>
      <c r="E48" s="47"/>
      <c r="F48" s="48">
        <v>5</v>
      </c>
      <c r="G48" s="45">
        <v>0</v>
      </c>
      <c r="H48" s="23">
        <f t="shared" si="2"/>
        <v>675</v>
      </c>
      <c r="I48" s="23">
        <v>50</v>
      </c>
      <c r="J48" s="23"/>
      <c r="K48" s="23">
        <f t="shared" si="3"/>
        <v>725</v>
      </c>
      <c r="L48" s="23"/>
      <c r="M48" s="23"/>
      <c r="N48" s="23">
        <v>40.28</v>
      </c>
      <c r="O48" s="23">
        <f t="shared" si="6"/>
        <v>765.28</v>
      </c>
      <c r="P48" s="23">
        <v>15</v>
      </c>
      <c r="Q48" s="24">
        <f t="shared" si="7"/>
        <v>22.5</v>
      </c>
    </row>
    <row r="49" spans="1:19" ht="22.5" customHeight="1" x14ac:dyDescent="0.15">
      <c r="A49" s="21">
        <v>20</v>
      </c>
      <c r="B49" s="22" t="s">
        <v>148</v>
      </c>
      <c r="C49" s="47">
        <v>44</v>
      </c>
      <c r="D49" s="47"/>
      <c r="E49" s="47"/>
      <c r="F49" s="48">
        <v>4</v>
      </c>
      <c r="G49" s="45">
        <v>108</v>
      </c>
      <c r="H49" s="23">
        <f t="shared" si="2"/>
        <v>660</v>
      </c>
      <c r="I49" s="23">
        <v>45.1</v>
      </c>
      <c r="J49" s="23"/>
      <c r="K49" s="23">
        <f t="shared" si="3"/>
        <v>813.1</v>
      </c>
      <c r="L49" s="23"/>
      <c r="M49" s="23"/>
      <c r="N49" s="23">
        <v>36.96</v>
      </c>
      <c r="O49" s="23">
        <f t="shared" si="6"/>
        <v>850.06000000000006</v>
      </c>
      <c r="P49" s="23">
        <v>15</v>
      </c>
      <c r="Q49" s="24">
        <f t="shared" si="7"/>
        <v>22.5</v>
      </c>
    </row>
    <row r="50" spans="1:19" ht="22.5" customHeight="1" x14ac:dyDescent="0.15">
      <c r="A50" s="21">
        <v>21</v>
      </c>
      <c r="B50" s="22" t="s">
        <v>149</v>
      </c>
      <c r="C50" s="47">
        <v>10.5</v>
      </c>
      <c r="D50" s="47"/>
      <c r="E50" s="47"/>
      <c r="F50" s="48"/>
      <c r="G50" s="45">
        <v>0</v>
      </c>
      <c r="H50" s="23">
        <f t="shared" si="2"/>
        <v>157.5</v>
      </c>
      <c r="I50" s="23"/>
      <c r="J50" s="23">
        <v>717.5</v>
      </c>
      <c r="K50" s="23">
        <f t="shared" si="3"/>
        <v>875</v>
      </c>
      <c r="L50" s="23"/>
      <c r="M50" s="23"/>
      <c r="N50" s="23">
        <v>0</v>
      </c>
      <c r="O50" s="23">
        <f t="shared" si="6"/>
        <v>875</v>
      </c>
      <c r="P50" s="23">
        <v>15</v>
      </c>
      <c r="Q50" s="24">
        <f t="shared" si="7"/>
        <v>22.5</v>
      </c>
    </row>
    <row r="51" spans="1:19" ht="22.5" customHeight="1" x14ac:dyDescent="0.15">
      <c r="A51" s="21">
        <v>22</v>
      </c>
      <c r="B51" s="22" t="s">
        <v>151</v>
      </c>
      <c r="C51" s="47">
        <v>23.5</v>
      </c>
      <c r="D51" s="47"/>
      <c r="E51" s="47"/>
      <c r="F51" s="48"/>
      <c r="G51" s="45">
        <v>0</v>
      </c>
      <c r="H51" s="23">
        <f t="shared" si="2"/>
        <v>352.5</v>
      </c>
      <c r="I51" s="23">
        <v>17.5</v>
      </c>
      <c r="J51" s="23"/>
      <c r="K51" s="23">
        <f t="shared" si="3"/>
        <v>370</v>
      </c>
      <c r="L51" s="23"/>
      <c r="M51" s="23"/>
      <c r="N51" s="23">
        <v>0</v>
      </c>
      <c r="O51" s="23">
        <f t="shared" si="6"/>
        <v>370</v>
      </c>
      <c r="P51" s="23">
        <v>15</v>
      </c>
      <c r="Q51" s="24">
        <f t="shared" si="7"/>
        <v>22.5</v>
      </c>
    </row>
    <row r="52" spans="1:19" ht="22.5" customHeight="1" x14ac:dyDescent="0.15">
      <c r="A52" s="21">
        <v>23</v>
      </c>
      <c r="B52" s="22" t="s">
        <v>167</v>
      </c>
      <c r="C52" s="47">
        <v>45</v>
      </c>
      <c r="D52" s="47"/>
      <c r="E52" s="47"/>
      <c r="F52" s="48">
        <v>5</v>
      </c>
      <c r="G52" s="45">
        <v>0</v>
      </c>
      <c r="H52" s="23">
        <f t="shared" si="2"/>
        <v>675</v>
      </c>
      <c r="I52" s="23">
        <v>60</v>
      </c>
      <c r="J52" s="23"/>
      <c r="K52" s="23">
        <f t="shared" si="3"/>
        <v>735</v>
      </c>
      <c r="L52" s="23"/>
      <c r="M52" s="23"/>
      <c r="N52" s="23">
        <v>40.83</v>
      </c>
      <c r="O52" s="23">
        <f t="shared" si="6"/>
        <v>775.83</v>
      </c>
      <c r="P52" s="23">
        <v>15</v>
      </c>
      <c r="Q52" s="24">
        <f t="shared" si="7"/>
        <v>22.5</v>
      </c>
    </row>
    <row r="53" spans="1:19" ht="22.5" customHeight="1" x14ac:dyDescent="0.15">
      <c r="A53" s="21">
        <v>24</v>
      </c>
      <c r="B53" s="22" t="s">
        <v>168</v>
      </c>
      <c r="C53" s="47">
        <v>40</v>
      </c>
      <c r="D53" s="47"/>
      <c r="E53" s="47"/>
      <c r="G53" s="45">
        <v>0</v>
      </c>
      <c r="H53" s="23">
        <f t="shared" si="2"/>
        <v>600</v>
      </c>
      <c r="I53" s="23">
        <v>40</v>
      </c>
      <c r="J53" s="23"/>
      <c r="K53" s="23">
        <f t="shared" si="3"/>
        <v>640</v>
      </c>
      <c r="L53" s="23"/>
      <c r="M53" s="23"/>
      <c r="N53" s="23">
        <v>0</v>
      </c>
      <c r="O53" s="23">
        <f t="shared" si="6"/>
        <v>640</v>
      </c>
      <c r="P53" s="23">
        <v>15</v>
      </c>
      <c r="Q53" s="24">
        <f t="shared" si="7"/>
        <v>22.5</v>
      </c>
    </row>
    <row r="54" spans="1:19" ht="22.5" customHeight="1" x14ac:dyDescent="0.15">
      <c r="A54" s="21">
        <v>25</v>
      </c>
      <c r="B54" s="22" t="s">
        <v>153</v>
      </c>
      <c r="C54" s="47">
        <v>49.7</v>
      </c>
      <c r="D54" s="47"/>
      <c r="E54" s="47"/>
      <c r="F54" s="48">
        <v>9.6999999999999993</v>
      </c>
      <c r="G54" s="45">
        <v>1061</v>
      </c>
      <c r="H54" s="23">
        <f t="shared" si="2"/>
        <v>745.5</v>
      </c>
      <c r="I54" s="23">
        <v>16</v>
      </c>
      <c r="J54" s="23"/>
      <c r="K54" s="23">
        <f t="shared" si="3"/>
        <v>1822.5</v>
      </c>
      <c r="L54" s="23"/>
      <c r="M54" s="23"/>
      <c r="N54" s="23">
        <v>177.85</v>
      </c>
      <c r="O54" s="23">
        <f t="shared" si="6"/>
        <v>2000.35</v>
      </c>
      <c r="P54" s="23">
        <v>15</v>
      </c>
      <c r="Q54" s="24">
        <f t="shared" si="7"/>
        <v>22.5</v>
      </c>
    </row>
    <row r="55" spans="1:19" ht="22.5" customHeight="1" x14ac:dyDescent="0.15">
      <c r="A55" s="21">
        <v>26</v>
      </c>
      <c r="B55" s="22" t="s">
        <v>154</v>
      </c>
      <c r="C55" s="47">
        <v>50</v>
      </c>
      <c r="D55" s="47"/>
      <c r="E55" s="47"/>
      <c r="F55" s="48">
        <v>10</v>
      </c>
      <c r="G55" s="45">
        <v>0</v>
      </c>
      <c r="H55" s="23">
        <f t="shared" si="2"/>
        <v>750</v>
      </c>
      <c r="I55" s="23">
        <v>205</v>
      </c>
      <c r="J55" s="23"/>
      <c r="K55" s="23">
        <f t="shared" si="3"/>
        <v>955</v>
      </c>
      <c r="L55" s="23"/>
      <c r="M55" s="23"/>
      <c r="N55" s="23">
        <v>95.5</v>
      </c>
      <c r="O55" s="23">
        <f t="shared" si="6"/>
        <v>1050.5</v>
      </c>
      <c r="P55" s="23">
        <v>15</v>
      </c>
      <c r="Q55" s="24">
        <f t="shared" si="7"/>
        <v>22.5</v>
      </c>
    </row>
    <row r="56" spans="1:19" ht="22.5" customHeight="1" x14ac:dyDescent="0.15">
      <c r="A56" s="21">
        <v>27</v>
      </c>
      <c r="B56" s="50" t="s">
        <v>156</v>
      </c>
      <c r="C56" s="47">
        <v>42</v>
      </c>
      <c r="D56" s="47"/>
      <c r="E56" s="47"/>
      <c r="F56" s="48">
        <v>2</v>
      </c>
      <c r="G56" s="45">
        <v>0</v>
      </c>
      <c r="H56" s="23">
        <f t="shared" si="2"/>
        <v>630</v>
      </c>
      <c r="I56" s="23">
        <v>30</v>
      </c>
      <c r="J56" s="23"/>
      <c r="K56" s="23">
        <f t="shared" si="3"/>
        <v>660</v>
      </c>
      <c r="L56" s="23"/>
      <c r="M56" s="23"/>
      <c r="N56" s="23">
        <v>15.71</v>
      </c>
      <c r="O56" s="23">
        <f t="shared" si="6"/>
        <v>675.71</v>
      </c>
      <c r="P56" s="23">
        <v>15</v>
      </c>
      <c r="Q56" s="24">
        <f t="shared" si="7"/>
        <v>22.5</v>
      </c>
    </row>
    <row r="57" spans="1:19" ht="21.75" customHeight="1" x14ac:dyDescent="0.15">
      <c r="A57" s="21">
        <v>28</v>
      </c>
      <c r="B57" s="22" t="s">
        <v>172</v>
      </c>
      <c r="C57" s="47">
        <v>44</v>
      </c>
      <c r="D57" s="47"/>
      <c r="E57" s="47"/>
      <c r="F57" s="48">
        <v>4</v>
      </c>
      <c r="G57" s="45">
        <v>0</v>
      </c>
      <c r="H57" s="23">
        <f t="shared" si="2"/>
        <v>660</v>
      </c>
      <c r="I57" s="23">
        <v>20</v>
      </c>
      <c r="J57" s="23"/>
      <c r="K57" s="23">
        <f t="shared" si="3"/>
        <v>680</v>
      </c>
      <c r="L57" s="23"/>
      <c r="M57" s="23"/>
      <c r="N57" s="23">
        <v>30.91</v>
      </c>
      <c r="O57" s="23">
        <f t="shared" si="6"/>
        <v>710.91</v>
      </c>
      <c r="P57" s="23">
        <v>15</v>
      </c>
      <c r="Q57" s="24">
        <f t="shared" si="7"/>
        <v>22.5</v>
      </c>
    </row>
    <row r="58" spans="1:19" ht="22.5" customHeight="1" x14ac:dyDescent="0.15">
      <c r="A58" s="21">
        <v>29</v>
      </c>
      <c r="B58" s="22" t="s">
        <v>157</v>
      </c>
      <c r="C58" s="47">
        <v>38</v>
      </c>
      <c r="D58" s="47"/>
      <c r="E58" s="47"/>
      <c r="F58" s="48"/>
      <c r="G58" s="45">
        <v>0</v>
      </c>
      <c r="H58" s="23">
        <f t="shared" si="2"/>
        <v>570</v>
      </c>
      <c r="I58" s="23">
        <v>50</v>
      </c>
      <c r="J58" s="23"/>
      <c r="K58" s="23">
        <f t="shared" si="3"/>
        <v>620</v>
      </c>
      <c r="L58" s="23"/>
      <c r="M58" s="23"/>
      <c r="N58" s="23">
        <v>0</v>
      </c>
      <c r="O58" s="23">
        <f t="shared" si="6"/>
        <v>620</v>
      </c>
      <c r="P58" s="23">
        <v>15</v>
      </c>
      <c r="Q58" s="24">
        <f t="shared" si="7"/>
        <v>22.5</v>
      </c>
    </row>
    <row r="59" spans="1:19" ht="21.75" customHeight="1" x14ac:dyDescent="0.15">
      <c r="A59" s="21">
        <v>30</v>
      </c>
      <c r="B59" s="22" t="s">
        <v>158</v>
      </c>
      <c r="C59" s="47">
        <v>50</v>
      </c>
      <c r="D59" s="47"/>
      <c r="E59" s="47"/>
      <c r="F59" s="48">
        <v>10</v>
      </c>
      <c r="G59" s="45">
        <v>0</v>
      </c>
      <c r="H59" s="23">
        <f t="shared" si="2"/>
        <v>750</v>
      </c>
      <c r="I59" s="23">
        <v>68.2</v>
      </c>
      <c r="J59" s="23"/>
      <c r="K59" s="23">
        <f t="shared" si="3"/>
        <v>818.2</v>
      </c>
      <c r="L59" s="23"/>
      <c r="M59" s="23"/>
      <c r="N59" s="23">
        <v>81.819999999999993</v>
      </c>
      <c r="O59" s="23">
        <f t="shared" si="6"/>
        <v>900.02</v>
      </c>
      <c r="P59" s="23">
        <v>15</v>
      </c>
      <c r="Q59" s="24">
        <f t="shared" si="7"/>
        <v>22.5</v>
      </c>
    </row>
    <row r="60" spans="1:19" ht="21.75" customHeight="1" x14ac:dyDescent="0.15">
      <c r="A60" s="21">
        <v>31</v>
      </c>
      <c r="B60" s="22" t="s">
        <v>169</v>
      </c>
      <c r="C60" s="47">
        <v>40</v>
      </c>
      <c r="D60" s="47"/>
      <c r="E60" s="47"/>
      <c r="F60" s="48"/>
      <c r="G60" s="45">
        <v>0</v>
      </c>
      <c r="H60" s="23">
        <f t="shared" si="2"/>
        <v>600</v>
      </c>
      <c r="I60" s="23">
        <v>40</v>
      </c>
      <c r="J60" s="23"/>
      <c r="K60" s="23">
        <f t="shared" si="3"/>
        <v>640</v>
      </c>
      <c r="L60" s="23"/>
      <c r="M60" s="23"/>
      <c r="N60" s="23">
        <v>0</v>
      </c>
      <c r="O60" s="23">
        <f t="shared" si="6"/>
        <v>640</v>
      </c>
      <c r="P60" s="23">
        <v>15</v>
      </c>
      <c r="Q60" s="24">
        <f t="shared" si="7"/>
        <v>22.5</v>
      </c>
    </row>
    <row r="61" spans="1:19" ht="26.25" customHeight="1" x14ac:dyDescent="0.15">
      <c r="A61" s="21">
        <v>32</v>
      </c>
      <c r="B61" s="22" t="s">
        <v>160</v>
      </c>
      <c r="C61" s="47">
        <v>40</v>
      </c>
      <c r="D61" s="47"/>
      <c r="E61" s="47"/>
      <c r="F61" s="48"/>
      <c r="G61" s="45">
        <v>0</v>
      </c>
      <c r="H61" s="23">
        <f t="shared" si="2"/>
        <v>600</v>
      </c>
      <c r="I61" s="23">
        <v>30</v>
      </c>
      <c r="J61" s="23"/>
      <c r="K61" s="23">
        <f t="shared" si="3"/>
        <v>630</v>
      </c>
      <c r="L61" s="23"/>
      <c r="M61" s="23"/>
      <c r="N61" s="23">
        <v>0</v>
      </c>
      <c r="O61" s="23">
        <f t="shared" si="6"/>
        <v>630</v>
      </c>
      <c r="P61" s="23">
        <v>15</v>
      </c>
      <c r="Q61" s="24">
        <f t="shared" si="7"/>
        <v>22.5</v>
      </c>
      <c r="S61" s="25" t="s">
        <v>10</v>
      </c>
    </row>
    <row r="62" spans="1:19" ht="22.5" customHeight="1" x14ac:dyDescent="0.15">
      <c r="A62" s="21">
        <v>33</v>
      </c>
      <c r="B62" s="22" t="s">
        <v>161</v>
      </c>
      <c r="C62" s="47"/>
      <c r="D62" s="47"/>
      <c r="E62" s="47"/>
      <c r="F62" s="49">
        <v>5</v>
      </c>
      <c r="G62" s="45">
        <v>902.72</v>
      </c>
      <c r="H62" s="23">
        <f t="shared" si="2"/>
        <v>0</v>
      </c>
      <c r="I62" s="23"/>
      <c r="J62" s="23"/>
      <c r="K62" s="23">
        <f t="shared" si="3"/>
        <v>902.72</v>
      </c>
      <c r="L62" s="23"/>
      <c r="M62" s="23"/>
      <c r="N62" s="23">
        <v>50.15</v>
      </c>
      <c r="O62" s="23">
        <f t="shared" si="6"/>
        <v>952.87</v>
      </c>
      <c r="P62" s="23">
        <v>15</v>
      </c>
      <c r="Q62" s="24">
        <f t="shared" si="7"/>
        <v>22.5</v>
      </c>
    </row>
    <row r="63" spans="1:19" ht="22.5" customHeight="1" x14ac:dyDescent="0.15">
      <c r="A63" s="21">
        <v>34</v>
      </c>
      <c r="B63" s="22" t="s">
        <v>162</v>
      </c>
      <c r="C63" s="47">
        <v>40</v>
      </c>
      <c r="D63" s="47"/>
      <c r="E63" s="47"/>
      <c r="F63" s="48"/>
      <c r="G63" s="45">
        <v>0</v>
      </c>
      <c r="H63" s="23">
        <f t="shared" si="2"/>
        <v>600</v>
      </c>
      <c r="I63" s="23">
        <v>25</v>
      </c>
      <c r="J63" s="23"/>
      <c r="K63" s="23">
        <f t="shared" si="3"/>
        <v>625</v>
      </c>
      <c r="L63" s="23"/>
      <c r="M63" s="23"/>
      <c r="N63" s="23">
        <v>0</v>
      </c>
      <c r="O63" s="23">
        <f t="shared" si="6"/>
        <v>625</v>
      </c>
      <c r="P63" s="23">
        <v>15</v>
      </c>
      <c r="Q63" s="24">
        <f t="shared" si="7"/>
        <v>22.5</v>
      </c>
    </row>
    <row r="64" spans="1:19" ht="22.5" customHeight="1" x14ac:dyDescent="0.15">
      <c r="A64" s="21">
        <v>35</v>
      </c>
      <c r="B64" s="22" t="s">
        <v>175</v>
      </c>
      <c r="C64" s="47">
        <v>40</v>
      </c>
      <c r="D64" s="47"/>
      <c r="E64" s="47"/>
      <c r="F64" s="48"/>
      <c r="G64" s="45">
        <v>0</v>
      </c>
      <c r="H64" s="23">
        <f t="shared" si="2"/>
        <v>600</v>
      </c>
      <c r="I64" s="23">
        <v>25</v>
      </c>
      <c r="J64" s="23"/>
      <c r="K64" s="23">
        <f t="shared" si="3"/>
        <v>625</v>
      </c>
      <c r="L64" s="23"/>
      <c r="M64" s="23"/>
      <c r="N64" s="23">
        <v>0</v>
      </c>
      <c r="O64" s="23">
        <f t="shared" si="6"/>
        <v>625</v>
      </c>
      <c r="P64" s="23">
        <v>15</v>
      </c>
      <c r="Q64" s="24">
        <f t="shared" si="7"/>
        <v>22.5</v>
      </c>
    </row>
    <row r="65" spans="1:17" ht="22.5" customHeight="1" x14ac:dyDescent="0.15">
      <c r="A65" s="21">
        <v>36</v>
      </c>
      <c r="B65" s="22" t="s">
        <v>163</v>
      </c>
      <c r="C65" s="47"/>
      <c r="D65" s="47"/>
      <c r="E65" s="47"/>
      <c r="F65" s="48"/>
      <c r="G65" s="45">
        <v>161.19</v>
      </c>
      <c r="H65" s="23">
        <f t="shared" si="2"/>
        <v>0</v>
      </c>
      <c r="I65" s="23"/>
      <c r="J65" s="23"/>
      <c r="K65" s="23">
        <f t="shared" si="3"/>
        <v>161.19</v>
      </c>
      <c r="L65" s="23"/>
      <c r="M65" s="23"/>
      <c r="N65" s="23">
        <v>0</v>
      </c>
      <c r="O65" s="23">
        <f t="shared" si="6"/>
        <v>161.19</v>
      </c>
      <c r="P65" s="23">
        <v>15</v>
      </c>
      <c r="Q65" s="24">
        <f t="shared" ref="Q65" si="8">P65*1.5</f>
        <v>22.5</v>
      </c>
    </row>
    <row r="66" spans="1:17" ht="22.5" customHeight="1" x14ac:dyDescent="0.15">
      <c r="A66" s="21">
        <v>37</v>
      </c>
      <c r="B66" s="22" t="s">
        <v>126</v>
      </c>
      <c r="C66" s="47">
        <v>26</v>
      </c>
      <c r="D66" s="47"/>
      <c r="E66" s="47"/>
      <c r="F66" s="48"/>
      <c r="G66" s="45">
        <v>0</v>
      </c>
      <c r="H66" s="23">
        <f t="shared" si="2"/>
        <v>390</v>
      </c>
      <c r="I66" s="23">
        <v>40</v>
      </c>
      <c r="J66" s="23"/>
      <c r="K66" s="23">
        <f t="shared" si="3"/>
        <v>430</v>
      </c>
      <c r="L66" s="23"/>
      <c r="M66" s="23"/>
      <c r="N66" s="23">
        <v>0</v>
      </c>
      <c r="O66" s="23">
        <f t="shared" si="6"/>
        <v>430</v>
      </c>
      <c r="P66" s="23">
        <v>15</v>
      </c>
      <c r="Q66" s="24">
        <f t="shared" ref="Q66" si="9">P66*1.5</f>
        <v>22.5</v>
      </c>
    </row>
    <row r="67" spans="1:17" ht="22.5" customHeight="1" x14ac:dyDescent="0.15">
      <c r="A67" s="21">
        <v>38</v>
      </c>
      <c r="B67" s="22" t="s">
        <v>164</v>
      </c>
      <c r="C67" s="47"/>
      <c r="D67" s="47"/>
      <c r="E67" s="47"/>
      <c r="F67" s="48"/>
      <c r="G67" s="45">
        <v>666.5</v>
      </c>
      <c r="H67" s="23">
        <f t="shared" si="2"/>
        <v>0</v>
      </c>
      <c r="I67" s="23"/>
      <c r="J67" s="23"/>
      <c r="K67" s="23">
        <f t="shared" si="3"/>
        <v>666.5</v>
      </c>
      <c r="L67" s="23"/>
      <c r="M67" s="23"/>
      <c r="N67" s="23">
        <v>0</v>
      </c>
      <c r="O67" s="23">
        <f t="shared" si="6"/>
        <v>666.5</v>
      </c>
      <c r="P67" s="23">
        <v>15</v>
      </c>
      <c r="Q67" s="24">
        <f t="shared" si="7"/>
        <v>22.5</v>
      </c>
    </row>
    <row r="68" spans="1:17" ht="33" customHeight="1" x14ac:dyDescent="0.15">
      <c r="B68" s="25" t="s">
        <v>10</v>
      </c>
      <c r="C68" s="26">
        <f>SUM(C30:C67)</f>
        <v>1313.7</v>
      </c>
      <c r="D68" s="26">
        <f>SUM(D30:D67)</f>
        <v>0</v>
      </c>
      <c r="E68" s="26">
        <f>SUM(E30:E67)</f>
        <v>0</v>
      </c>
      <c r="F68" s="26">
        <f>SUM(F30:F67)</f>
        <v>134.69999999999999</v>
      </c>
      <c r="G68" s="26">
        <f>SUM(G30:G67)</f>
        <v>7932.15</v>
      </c>
      <c r="H68" s="27">
        <f>SUM(H30:H67)</f>
        <v>19705.5</v>
      </c>
      <c r="I68" s="27">
        <f>SUM(I30:I67)</f>
        <v>1539.0000000000002</v>
      </c>
      <c r="J68" s="27">
        <f>SUM(J30:J67)</f>
        <v>2002.5</v>
      </c>
      <c r="K68" s="28">
        <f>SUM(K30:K67)</f>
        <v>31179.149999999998</v>
      </c>
      <c r="L68" s="29">
        <f>SUM(L30:L67)</f>
        <v>0</v>
      </c>
      <c r="M68" s="28">
        <f>SUM(M30:M67)</f>
        <v>0</v>
      </c>
      <c r="N68" s="30">
        <f>SUM(N30:N67)</f>
        <v>1354.1200000000001</v>
      </c>
      <c r="O68" s="27">
        <f>SUM(O30:O67)</f>
        <v>32533.269999999997</v>
      </c>
      <c r="P68" s="31"/>
      <c r="Q68" s="31"/>
    </row>
    <row r="69" spans="1:17" ht="33" customHeight="1" x14ac:dyDescent="0.15">
      <c r="C69" s="32"/>
      <c r="D69" s="32"/>
      <c r="E69" s="32"/>
      <c r="F69" s="32"/>
      <c r="G69" s="32"/>
      <c r="H69" s="33"/>
      <c r="I69" s="33"/>
      <c r="J69" s="33"/>
      <c r="K69" s="34"/>
      <c r="L69" s="35"/>
      <c r="M69" s="34"/>
      <c r="N69" s="36"/>
      <c r="O69" s="33"/>
      <c r="P69" s="31"/>
      <c r="Q69" s="31"/>
    </row>
    <row r="70" spans="1:17" ht="19.5" customHeight="1" x14ac:dyDescent="0.15">
      <c r="A70" s="54" t="s">
        <v>52</v>
      </c>
      <c r="B70" s="52"/>
      <c r="C70" s="64">
        <f>SUM(H30:H67)</f>
        <v>19705.5</v>
      </c>
      <c r="D70" s="52"/>
      <c r="E70" s="52"/>
      <c r="F70" s="52"/>
      <c r="G70" s="38"/>
      <c r="H70" s="38"/>
      <c r="I70" s="38"/>
      <c r="J70" s="38"/>
      <c r="Q70" s="39"/>
    </row>
    <row r="71" spans="1:17" ht="22.5" customHeight="1" x14ac:dyDescent="0.15">
      <c r="A71" s="55" t="s">
        <v>53</v>
      </c>
      <c r="B71" s="52"/>
      <c r="C71" s="56">
        <f>O68-H68</f>
        <v>12827.769999999997</v>
      </c>
      <c r="D71" s="52"/>
      <c r="E71" s="52"/>
      <c r="F71" s="52"/>
      <c r="G71" s="38"/>
      <c r="H71" s="38"/>
      <c r="I71" s="38"/>
      <c r="J71" s="38"/>
      <c r="K71" s="41"/>
      <c r="Q71" s="42"/>
    </row>
    <row r="72" spans="1:17" ht="20.25" customHeight="1" x14ac:dyDescent="0.15">
      <c r="A72" s="54" t="s">
        <v>54</v>
      </c>
      <c r="B72" s="52"/>
      <c r="C72" s="56">
        <f>SUM((C68+D68)*1.7)</f>
        <v>2233.29</v>
      </c>
      <c r="D72" s="52"/>
      <c r="E72" s="52"/>
      <c r="F72" s="52"/>
    </row>
    <row r="73" spans="1:17" ht="19.5" customHeight="1" x14ac:dyDescent="0.15">
      <c r="A73" s="54" t="s">
        <v>55</v>
      </c>
      <c r="B73" s="52"/>
      <c r="C73" s="56">
        <f>SUM(C71*0.17)</f>
        <v>2180.7208999999998</v>
      </c>
      <c r="D73" s="52"/>
      <c r="E73" s="52"/>
      <c r="F73" s="52"/>
    </row>
    <row r="74" spans="1:17" ht="22.5" customHeight="1" x14ac:dyDescent="0.15">
      <c r="A74" s="54" t="s">
        <v>56</v>
      </c>
      <c r="B74" s="52"/>
      <c r="C74" s="65">
        <f>SUM(C70:F71)</f>
        <v>32533.269999999997</v>
      </c>
      <c r="D74" s="66"/>
      <c r="E74" s="66"/>
      <c r="F74" s="66"/>
      <c r="K74" s="25" t="s">
        <v>10</v>
      </c>
    </row>
    <row r="75" spans="1:17" ht="7.5" customHeight="1" x14ac:dyDescent="0.15">
      <c r="A75" s="37"/>
      <c r="B75" s="37"/>
      <c r="C75" s="40"/>
      <c r="D75" s="40"/>
      <c r="E75" s="40"/>
      <c r="F75" s="43"/>
    </row>
    <row r="76" spans="1:17" ht="18" customHeight="1" x14ac:dyDescent="0.2">
      <c r="A76" s="51" t="s">
        <v>57</v>
      </c>
      <c r="B76" s="52"/>
      <c r="C76" s="53">
        <f>SUM(C70:E73)</f>
        <v>36947.280899999998</v>
      </c>
      <c r="D76" s="52"/>
      <c r="E76" s="52"/>
      <c r="F76" s="52"/>
    </row>
    <row r="77" spans="1:17" ht="25.5" customHeight="1" x14ac:dyDescent="0.2">
      <c r="B77" s="44" t="s">
        <v>58</v>
      </c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7" ht="12.75" customHeight="1" x14ac:dyDescent="0.15"/>
    <row r="79" spans="1:17" ht="12.75" customHeight="1" x14ac:dyDescent="0.15"/>
    <row r="80" spans="1:17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</sheetData>
  <mergeCells count="28">
    <mergeCell ref="J6:N7"/>
    <mergeCell ref="J8:N9"/>
    <mergeCell ref="O8:Q9"/>
    <mergeCell ref="J1:Q1"/>
    <mergeCell ref="J2:N3"/>
    <mergeCell ref="O2:Q3"/>
    <mergeCell ref="J4:N5"/>
    <mergeCell ref="O4:Q5"/>
    <mergeCell ref="O6:Q7"/>
    <mergeCell ref="A8:I8"/>
    <mergeCell ref="A12:D12"/>
    <mergeCell ref="J12:L12"/>
    <mergeCell ref="B20:H20"/>
    <mergeCell ref="J20:Q20"/>
    <mergeCell ref="B22:H23"/>
    <mergeCell ref="J22:Q23"/>
    <mergeCell ref="C70:F70"/>
    <mergeCell ref="A74:B74"/>
    <mergeCell ref="C74:F74"/>
    <mergeCell ref="A76:B76"/>
    <mergeCell ref="C76:F76"/>
    <mergeCell ref="A70:B70"/>
    <mergeCell ref="A71:B71"/>
    <mergeCell ref="C71:F71"/>
    <mergeCell ref="A72:B72"/>
    <mergeCell ref="C72:F72"/>
    <mergeCell ref="A73:B73"/>
    <mergeCell ref="C73:F73"/>
  </mergeCells>
  <dataValidations count="1">
    <dataValidation type="list" allowBlank="1" showInputMessage="1" showErrorMessage="1" sqref="B30:B55 B57:B67" xr:uid="{91D266A7-6589-0B4C-B624-E587EF37AA83}">
      <formula1>EmployeeMasterList</formula1>
    </dataValidation>
  </dataValidations>
  <pageMargins left="0.7" right="0.7" top="0.75" bottom="0.75" header="0" footer="0"/>
  <pageSetup orientation="landscape"/>
  <ignoredErrors>
    <ignoredError sqref="K33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Employee List</vt:lpstr>
      <vt:lpstr>Invoice</vt:lpstr>
      <vt:lpstr>EmployeeMasterList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Leakhena</dc:creator>
  <cp:lastModifiedBy>MLL Services Admin Team</cp:lastModifiedBy>
  <dcterms:created xsi:type="dcterms:W3CDTF">2016-06-24T14:17:23Z</dcterms:created>
  <dcterms:modified xsi:type="dcterms:W3CDTF">2026-10-08T15:25:50Z</dcterms:modified>
</cp:coreProperties>
</file>